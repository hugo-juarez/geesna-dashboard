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_General" sheetId="1" r:id="rId4"/>
    <sheet state="visible" name="Flujo_Caja_Compras" sheetId="2" r:id="rId5"/>
    <sheet state="visible" name="FINE CREATIONS" sheetId="3" r:id="rId6"/>
    <sheet state="visible" name="CANPY LINA" sheetId="4" r:id="rId7"/>
    <sheet state="visible" name="Prov_3" sheetId="5" r:id="rId8"/>
    <sheet state="visible" name="Prov_4" sheetId="6" r:id="rId9"/>
    <sheet state="visible" name="Prov_5" sheetId="7" r:id="rId10"/>
    <sheet state="visible" name="Prov_6" sheetId="8" r:id="rId11"/>
    <sheet state="visible" name="Prov_7" sheetId="9" r:id="rId12"/>
    <sheet state="visible" name="Prov_8" sheetId="10" r:id="rId13"/>
    <sheet state="visible" name="Prov_9" sheetId="11" r:id="rId14"/>
    <sheet state="visible" name="Prov_10" sheetId="12" r:id="rId15"/>
    <sheet state="visible" name="Guia" sheetId="13" r:id="rId16"/>
  </sheets>
  <definedNames/>
  <calcPr/>
  <extLst>
    <ext uri="GoogleSheetsCustomDataVersion2">
      <go:sheetsCustomData xmlns:go="http://customooxmlschemas.google.com/" r:id="rId17" roundtripDataChecksum="LvJLyQbnrAG3cOwxaryctgfvgFdmOsdScQhk8BoMcNU="/>
    </ext>
  </extLst>
</workbook>
</file>

<file path=xl/sharedStrings.xml><?xml version="1.0" encoding="utf-8"?>
<sst xmlns="http://schemas.openxmlformats.org/spreadsheetml/2006/main" count="793" uniqueCount="379">
  <si>
    <t>GEESNA | Dashboard General de Órdenes a Proveedores</t>
  </si>
  <si>
    <t>Nota:</t>
  </si>
  <si>
    <t>Los semáforos de cada orden avanzan según estas etapas: Cotizar, Aprobar, Info empaque, Anticipo, Producción, Sale puerto origen, Llega puerto MX, Llega a bodega.</t>
  </si>
  <si>
    <t>Órdenes totales</t>
  </si>
  <si>
    <t>Monto total</t>
  </si>
  <si>
    <t>Órdenes completas</t>
  </si>
  <si>
    <t>Órdenes activas</t>
  </si>
  <si>
    <t>Órdenes en rojo</t>
  </si>
  <si>
    <t>% avance promedio</t>
  </si>
  <si>
    <t>Proveedor</t>
  </si>
  <si>
    <t>Órdenes</t>
  </si>
  <si>
    <t>Completas</t>
  </si>
  <si>
    <t>Activas</t>
  </si>
  <si>
    <t>En rojo</t>
  </si>
  <si>
    <t>% avance prom.</t>
  </si>
  <si>
    <t>Próx. ETA bodega</t>
  </si>
  <si>
    <t>Acción</t>
  </si>
  <si>
    <t>Semáforo general</t>
  </si>
  <si>
    <t>Caja comprometida</t>
  </si>
  <si>
    <t>Fine Creations</t>
  </si>
  <si>
    <t>Lina</t>
  </si>
  <si>
    <t>Proveedor 3</t>
  </si>
  <si>
    <t>Proveedor 4</t>
  </si>
  <si>
    <t>Proveedor 5</t>
  </si>
  <si>
    <t>Proveedor 6</t>
  </si>
  <si>
    <t>Proveedor 7</t>
  </si>
  <si>
    <t>Proveedor 8</t>
  </si>
  <si>
    <t>Proveedor 9</t>
  </si>
  <si>
    <t>Proveedor 10</t>
  </si>
  <si>
    <t>rihanna songs</t>
  </si>
  <si>
    <t>GEESNA | Flujo de Caja de Inventario y Compras</t>
  </si>
  <si>
    <t>Mes</t>
  </si>
  <si>
    <t>Orden ID</t>
  </si>
  <si>
    <t>Monto Orden</t>
  </si>
  <si>
    <t>Anticipo</t>
  </si>
  <si>
    <t>Saldo</t>
  </si>
  <si>
    <t>Fecha anticipo</t>
  </si>
  <si>
    <t>ETA Puerto MX</t>
  </si>
  <si>
    <t>ETA Bodega</t>
  </si>
  <si>
    <t>Notas</t>
  </si>
  <si>
    <t>GEESNA | Control de Órdenes de Contenedor - FINE CREATIONS I JEREMY</t>
  </si>
  <si>
    <t>Contacto</t>
  </si>
  <si>
    <t>País</t>
  </si>
  <si>
    <t>China</t>
  </si>
  <si>
    <t>Responsable</t>
  </si>
  <si>
    <t>BALANCE</t>
  </si>
  <si>
    <t>Semáforo proveedor</t>
  </si>
  <si>
    <t>Siguiente acción</t>
  </si>
  <si>
    <t>Producto / SKU</t>
  </si>
  <si>
    <t>Contenedor</t>
  </si>
  <si>
    <t>ETA Mercancia Lista</t>
  </si>
  <si>
    <t>Cotizar</t>
  </si>
  <si>
    <t>Aprobar</t>
  </si>
  <si>
    <t>Info empaque</t>
  </si>
  <si>
    <t>Producción OK</t>
  </si>
  <si>
    <t>Sale puerto origen</t>
  </si>
  <si>
    <t>Llega puerto MX</t>
  </si>
  <si>
    <t>Llega bodega</t>
  </si>
  <si>
    <t>Etapa actual</t>
  </si>
  <si>
    <t>Estado orden</t>
  </si>
  <si>
    <t>% avance</t>
  </si>
  <si>
    <t>Semáforo</t>
  </si>
  <si>
    <t>Días sin movimiento</t>
  </si>
  <si>
    <t>Pagos</t>
  </si>
  <si>
    <t>PB2020251013</t>
  </si>
  <si>
    <t>RED / GEN / 80</t>
  </si>
  <si>
    <t>MSCU1234</t>
  </si>
  <si>
    <t>Gerardo</t>
  </si>
  <si>
    <t>listo</t>
  </si>
  <si>
    <t>aprobado</t>
  </si>
  <si>
    <t>enviada</t>
  </si>
  <si>
    <t>ok</t>
  </si>
  <si>
    <t>PB2020251014-A</t>
  </si>
  <si>
    <t>NAR / PRO / 180</t>
  </si>
  <si>
    <t>MSCU1235</t>
  </si>
  <si>
    <t>PB2020251014-B</t>
  </si>
  <si>
    <t>BLUE / PRO / 180</t>
  </si>
  <si>
    <t>MSCU1236</t>
  </si>
  <si>
    <t>enviado</t>
  </si>
  <si>
    <t>emviado</t>
  </si>
  <si>
    <t>ya salio</t>
  </si>
  <si>
    <t>PB2020251119</t>
  </si>
  <si>
    <t xml:space="preserve">MIX </t>
  </si>
  <si>
    <t>MSCU1237</t>
  </si>
  <si>
    <t>PB2020251128</t>
  </si>
  <si>
    <t>NAR / GEN / 80</t>
  </si>
  <si>
    <t>MSCU1238</t>
  </si>
  <si>
    <t>PB2020260202</t>
  </si>
  <si>
    <t>cvsdffvcdsvds</t>
  </si>
  <si>
    <t>dsvdsvojsd</t>
  </si>
  <si>
    <t>s</t>
  </si>
  <si>
    <t>Cómo funciona el semáforo por proceso:</t>
  </si>
  <si>
    <t>Verde = hito completado | Amarillo = siguiente hito a ejecutar | Gris = hito futuro | Rojo = la orden ya venció vs ETA Bodega</t>
  </si>
  <si>
    <t>Tip:</t>
  </si>
  <si>
    <t>Captura fechas reales en los hitos H:O. El dashboard se actualiza solo.</t>
  </si>
  <si>
    <t>GEESNA | Control de Órdenes de Contenedor - LINA</t>
  </si>
  <si>
    <t>LINA</t>
  </si>
  <si>
    <t xml:space="preserve">PXK-25L1117-1 </t>
  </si>
  <si>
    <t>3x3 W R B</t>
  </si>
  <si>
    <t>TCLU9134729</t>
  </si>
  <si>
    <t>done</t>
  </si>
  <si>
    <t>PXK-25L1117-2</t>
  </si>
  <si>
    <t>2x2 W R B</t>
  </si>
  <si>
    <t>MSNU7986327</t>
  </si>
  <si>
    <t>PXK-25L1117-3</t>
  </si>
  <si>
    <t>Cubierta / Laterales</t>
  </si>
  <si>
    <t>TIIU4416290</t>
  </si>
  <si>
    <t>PXK-25L1117-4</t>
  </si>
  <si>
    <t>3x4.5 W R B</t>
  </si>
  <si>
    <t>MSBU5256338</t>
  </si>
  <si>
    <t>PXK-25L1117-5</t>
  </si>
  <si>
    <t>3x6 W R B</t>
  </si>
  <si>
    <t>MEDU4653752</t>
  </si>
  <si>
    <t>PXK-25L1117-6</t>
  </si>
  <si>
    <t>2x3 W R B</t>
  </si>
  <si>
    <t>MSNU5184549</t>
  </si>
  <si>
    <t>PXK-25L1117-7</t>
  </si>
  <si>
    <t>residuales</t>
  </si>
  <si>
    <t>MSMU6514615</t>
  </si>
  <si>
    <t xml:space="preserve">done </t>
  </si>
  <si>
    <t>PXK-26L0108(SG-08)</t>
  </si>
  <si>
    <t>PXK-26L0112(SG-09)</t>
  </si>
  <si>
    <t>SG-10</t>
  </si>
  <si>
    <t>SG-11</t>
  </si>
  <si>
    <t>GEESNA | Control de Órdenes de Contenedor - Proveedor 3</t>
  </si>
  <si>
    <t>P3-001</t>
  </si>
  <si>
    <t>P3-002</t>
  </si>
  <si>
    <t>P3-003</t>
  </si>
  <si>
    <t>P3-004</t>
  </si>
  <si>
    <t>P3-005</t>
  </si>
  <si>
    <t>P3-006</t>
  </si>
  <si>
    <t>P3-007</t>
  </si>
  <si>
    <t>P3-008</t>
  </si>
  <si>
    <t>P3-009</t>
  </si>
  <si>
    <t>P3-010</t>
  </si>
  <si>
    <t>P3-011</t>
  </si>
  <si>
    <t>P3-012</t>
  </si>
  <si>
    <t>P3-013</t>
  </si>
  <si>
    <t>P3-014</t>
  </si>
  <si>
    <t>P3-015</t>
  </si>
  <si>
    <t>P3-016</t>
  </si>
  <si>
    <t>P3-017</t>
  </si>
  <si>
    <t>P3-018</t>
  </si>
  <si>
    <t>P3-019</t>
  </si>
  <si>
    <t>P3-020</t>
  </si>
  <si>
    <t>P3-021</t>
  </si>
  <si>
    <t>P3-022</t>
  </si>
  <si>
    <t>P3-023</t>
  </si>
  <si>
    <t>P3-024</t>
  </si>
  <si>
    <t>P3-025</t>
  </si>
  <si>
    <t>P3-026</t>
  </si>
  <si>
    <t>P3-027</t>
  </si>
  <si>
    <t>P3-028</t>
  </si>
  <si>
    <t>P3-029</t>
  </si>
  <si>
    <t>P3-030</t>
  </si>
  <si>
    <t>GEESNA | Control de Órdenes de Contenedor - Proveedor 4</t>
  </si>
  <si>
    <t>P4-001</t>
  </si>
  <si>
    <t>P4-002</t>
  </si>
  <si>
    <t>P4-003</t>
  </si>
  <si>
    <t>P4-004</t>
  </si>
  <si>
    <t>P4-005</t>
  </si>
  <si>
    <t>P4-006</t>
  </si>
  <si>
    <t>P4-007</t>
  </si>
  <si>
    <t>P4-008</t>
  </si>
  <si>
    <t>P4-009</t>
  </si>
  <si>
    <t>P4-010</t>
  </si>
  <si>
    <t>P4-011</t>
  </si>
  <si>
    <t>P4-012</t>
  </si>
  <si>
    <t>P4-013</t>
  </si>
  <si>
    <t>P4-014</t>
  </si>
  <si>
    <t>P4-015</t>
  </si>
  <si>
    <t>P4-016</t>
  </si>
  <si>
    <t>P4-017</t>
  </si>
  <si>
    <t>P4-018</t>
  </si>
  <si>
    <t>P4-019</t>
  </si>
  <si>
    <t>P4-020</t>
  </si>
  <si>
    <t>P4-021</t>
  </si>
  <si>
    <t>P4-022</t>
  </si>
  <si>
    <t>P4-023</t>
  </si>
  <si>
    <t>P4-024</t>
  </si>
  <si>
    <t>P4-025</t>
  </si>
  <si>
    <t>P4-026</t>
  </si>
  <si>
    <t>P4-027</t>
  </si>
  <si>
    <t>P4-028</t>
  </si>
  <si>
    <t>P4-029</t>
  </si>
  <si>
    <t>P4-030</t>
  </si>
  <si>
    <t>GEESNA | Control de Órdenes de Contenedor - Proveedor 5</t>
  </si>
  <si>
    <t>P5-001</t>
  </si>
  <si>
    <t>P5-002</t>
  </si>
  <si>
    <t>P5-003</t>
  </si>
  <si>
    <t>P5-004</t>
  </si>
  <si>
    <t>P5-005</t>
  </si>
  <si>
    <t>P5-006</t>
  </si>
  <si>
    <t>P5-007</t>
  </si>
  <si>
    <t>P5-008</t>
  </si>
  <si>
    <t>P5-009</t>
  </si>
  <si>
    <t>P5-010</t>
  </si>
  <si>
    <t>P5-011</t>
  </si>
  <si>
    <t>P5-012</t>
  </si>
  <si>
    <t>P5-013</t>
  </si>
  <si>
    <t>P5-014</t>
  </si>
  <si>
    <t>P5-015</t>
  </si>
  <si>
    <t>P5-016</t>
  </si>
  <si>
    <t>P5-017</t>
  </si>
  <si>
    <t>P5-018</t>
  </si>
  <si>
    <t>P5-019</t>
  </si>
  <si>
    <t>P5-020</t>
  </si>
  <si>
    <t>P5-021</t>
  </si>
  <si>
    <t>P5-022</t>
  </si>
  <si>
    <t>P5-023</t>
  </si>
  <si>
    <t>P5-024</t>
  </si>
  <si>
    <t>P5-025</t>
  </si>
  <si>
    <t>P5-026</t>
  </si>
  <si>
    <t>P5-027</t>
  </si>
  <si>
    <t>P5-028</t>
  </si>
  <si>
    <t>P5-029</t>
  </si>
  <si>
    <t>P5-030</t>
  </si>
  <si>
    <t>GEESNA | Control de Órdenes de Contenedor - Proveedor 6</t>
  </si>
  <si>
    <t>P6-001</t>
  </si>
  <si>
    <t>P6-002</t>
  </si>
  <si>
    <t>P6-003</t>
  </si>
  <si>
    <t>P6-004</t>
  </si>
  <si>
    <t>P6-005</t>
  </si>
  <si>
    <t>P6-006</t>
  </si>
  <si>
    <t>P6-007</t>
  </si>
  <si>
    <t>P6-008</t>
  </si>
  <si>
    <t>P6-009</t>
  </si>
  <si>
    <t>P6-010</t>
  </si>
  <si>
    <t>P6-011</t>
  </si>
  <si>
    <t>P6-012</t>
  </si>
  <si>
    <t>P6-013</t>
  </si>
  <si>
    <t>P6-014</t>
  </si>
  <si>
    <t>P6-015</t>
  </si>
  <si>
    <t>P6-016</t>
  </si>
  <si>
    <t>P6-017</t>
  </si>
  <si>
    <t>P6-018</t>
  </si>
  <si>
    <t>P6-019</t>
  </si>
  <si>
    <t>P6-020</t>
  </si>
  <si>
    <t>P6-021</t>
  </si>
  <si>
    <t>P6-022</t>
  </si>
  <si>
    <t>P6-023</t>
  </si>
  <si>
    <t>P6-024</t>
  </si>
  <si>
    <t>P6-025</t>
  </si>
  <si>
    <t>P6-026</t>
  </si>
  <si>
    <t>P6-027</t>
  </si>
  <si>
    <t>P6-028</t>
  </si>
  <si>
    <t>P6-029</t>
  </si>
  <si>
    <t>P6-030</t>
  </si>
  <si>
    <t>GEESNA | Control de Órdenes de Contenedor - Proveedor 7</t>
  </si>
  <si>
    <t>P7-001</t>
  </si>
  <si>
    <t>P7-002</t>
  </si>
  <si>
    <t>P7-003</t>
  </si>
  <si>
    <t>P7-004</t>
  </si>
  <si>
    <t>P7-005</t>
  </si>
  <si>
    <t>P7-006</t>
  </si>
  <si>
    <t>P7-007</t>
  </si>
  <si>
    <t>P7-008</t>
  </si>
  <si>
    <t>P7-009</t>
  </si>
  <si>
    <t>P7-010</t>
  </si>
  <si>
    <t>P7-011</t>
  </si>
  <si>
    <t>P7-012</t>
  </si>
  <si>
    <t>P7-013</t>
  </si>
  <si>
    <t>P7-014</t>
  </si>
  <si>
    <t>P7-015</t>
  </si>
  <si>
    <t>P7-016</t>
  </si>
  <si>
    <t>P7-017</t>
  </si>
  <si>
    <t>P7-018</t>
  </si>
  <si>
    <t>P7-019</t>
  </si>
  <si>
    <t>P7-020</t>
  </si>
  <si>
    <t>P7-021</t>
  </si>
  <si>
    <t>P7-022</t>
  </si>
  <si>
    <t>P7-023</t>
  </si>
  <si>
    <t>P7-024</t>
  </si>
  <si>
    <t>P7-025</t>
  </si>
  <si>
    <t>P7-026</t>
  </si>
  <si>
    <t>P7-027</t>
  </si>
  <si>
    <t>P7-028</t>
  </si>
  <si>
    <t>P7-029</t>
  </si>
  <si>
    <t>P7-030</t>
  </si>
  <si>
    <t>GEESNA | Control de Órdenes de Contenedor - Proveedor 8</t>
  </si>
  <si>
    <t>P8-001</t>
  </si>
  <si>
    <t>P8-002</t>
  </si>
  <si>
    <t>P8-003</t>
  </si>
  <si>
    <t>P8-004</t>
  </si>
  <si>
    <t>P8-005</t>
  </si>
  <si>
    <t>P8-006</t>
  </si>
  <si>
    <t>P8-007</t>
  </si>
  <si>
    <t>P8-008</t>
  </si>
  <si>
    <t>P8-009</t>
  </si>
  <si>
    <t>P8-010</t>
  </si>
  <si>
    <t>P8-011</t>
  </si>
  <si>
    <t>P8-012</t>
  </si>
  <si>
    <t>P8-013</t>
  </si>
  <si>
    <t>P8-014</t>
  </si>
  <si>
    <t>P8-015</t>
  </si>
  <si>
    <t>P8-016</t>
  </si>
  <si>
    <t>P8-017</t>
  </si>
  <si>
    <t>P8-018</t>
  </si>
  <si>
    <t>P8-019</t>
  </si>
  <si>
    <t>P8-020</t>
  </si>
  <si>
    <t>P8-021</t>
  </si>
  <si>
    <t>P8-022</t>
  </si>
  <si>
    <t>P8-023</t>
  </si>
  <si>
    <t>P8-024</t>
  </si>
  <si>
    <t>P8-025</t>
  </si>
  <si>
    <t>P8-026</t>
  </si>
  <si>
    <t>P8-027</t>
  </si>
  <si>
    <t>P8-028</t>
  </si>
  <si>
    <t>P8-029</t>
  </si>
  <si>
    <t>P8-030</t>
  </si>
  <si>
    <t>GEESNA | Control de Órdenes de Contenedor - Proveedor 9</t>
  </si>
  <si>
    <t>P9-001</t>
  </si>
  <si>
    <t>P9-002</t>
  </si>
  <si>
    <t>P9-003</t>
  </si>
  <si>
    <t>P9-004</t>
  </si>
  <si>
    <t>P9-005</t>
  </si>
  <si>
    <t>P9-006</t>
  </si>
  <si>
    <t>P9-007</t>
  </si>
  <si>
    <t>P9-008</t>
  </si>
  <si>
    <t>P9-009</t>
  </si>
  <si>
    <t>P9-010</t>
  </si>
  <si>
    <t>P9-011</t>
  </si>
  <si>
    <t>P9-012</t>
  </si>
  <si>
    <t>P9-013</t>
  </si>
  <si>
    <t>P9-014</t>
  </si>
  <si>
    <t>P9-015</t>
  </si>
  <si>
    <t>P9-016</t>
  </si>
  <si>
    <t>P9-017</t>
  </si>
  <si>
    <t>P9-018</t>
  </si>
  <si>
    <t>P9-019</t>
  </si>
  <si>
    <t>P9-020</t>
  </si>
  <si>
    <t>P9-021</t>
  </si>
  <si>
    <t>P9-022</t>
  </si>
  <si>
    <t>P9-023</t>
  </si>
  <si>
    <t>P9-024</t>
  </si>
  <si>
    <t>P9-025</t>
  </si>
  <si>
    <t>P9-026</t>
  </si>
  <si>
    <t>P9-027</t>
  </si>
  <si>
    <t>P9-028</t>
  </si>
  <si>
    <t>P9-029</t>
  </si>
  <si>
    <t>P9-030</t>
  </si>
  <si>
    <t>GEESNA | Control de Órdenes de Contenedor - Proveedor 10</t>
  </si>
  <si>
    <t>P10-001</t>
  </si>
  <si>
    <t>P10-002</t>
  </si>
  <si>
    <t>P10-003</t>
  </si>
  <si>
    <t>P10-004</t>
  </si>
  <si>
    <t>P10-005</t>
  </si>
  <si>
    <t>P10-006</t>
  </si>
  <si>
    <t>P10-007</t>
  </si>
  <si>
    <t>P10-008</t>
  </si>
  <si>
    <t>P10-009</t>
  </si>
  <si>
    <t>P10-010</t>
  </si>
  <si>
    <t>P10-011</t>
  </si>
  <si>
    <t>P10-012</t>
  </si>
  <si>
    <t>P10-013</t>
  </si>
  <si>
    <t>P10-014</t>
  </si>
  <si>
    <t>P10-015</t>
  </si>
  <si>
    <t>P10-016</t>
  </si>
  <si>
    <t>P10-017</t>
  </si>
  <si>
    <t>P10-018</t>
  </si>
  <si>
    <t>P10-019</t>
  </si>
  <si>
    <t>P10-020</t>
  </si>
  <si>
    <t>P10-021</t>
  </si>
  <si>
    <t>P10-022</t>
  </si>
  <si>
    <t>P10-023</t>
  </si>
  <si>
    <t>P10-024</t>
  </si>
  <si>
    <t>P10-025</t>
  </si>
  <si>
    <t>P10-026</t>
  </si>
  <si>
    <t>P10-027</t>
  </si>
  <si>
    <t>P10-028</t>
  </si>
  <si>
    <t>P10-029</t>
  </si>
  <si>
    <t>P10-030</t>
  </si>
  <si>
    <t>Cómo usar este archivo</t>
  </si>
  <si>
    <t>1. En cada hoja Prov_1 a Prov_10 captura una orden por fila.</t>
  </si>
  <si>
    <t>2. Llena ETA Puerto MX y ETA Bodega para que el semáforo detecte atrasos.</t>
  </si>
  <si>
    <t>3. Ve capturando la fecha real de cada proceso en las columnas H:O.</t>
  </si>
  <si>
    <t>4. El color de cada etapa cambia así: amarillo = siguiente paso, verde = terminado, gris = futuro.</t>
  </si>
  <si>
    <t>5. Si la ETA Bodega se venció y la orden no ha llegado a bodega, el semáforo de la orden se pone en rojo.</t>
  </si>
  <si>
    <t>6. El Dashboard_General te muestra qué proveedor trae más monto, más atraso y qué acción tomar.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</si>
</sst>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#,##0;[Red](#,##0);-"/>
    <numFmt numFmtId="165" formatCode="0.0%"/>
    <numFmt numFmtId="166" formatCode="dd-mmm"/>
    <numFmt numFmtId="167" formatCode="0;[Red](0);-"/>
    <numFmt numFmtId="168" formatCode="[$$]#,##0.00"/>
    <numFmt numFmtId="169" formatCode="dd/MM/yyyy"/>
  </numFmts>
  <fonts count="11">
    <font>
      <sz val="11.0"/>
      <color theme="1"/>
      <name val="Calibri"/>
      <scheme val="minor"/>
    </font>
    <font>
      <b/>
      <sz val="14.0"/>
      <color rgb="FFFFFFFF"/>
      <name val="Calibri"/>
      <scheme val="minor"/>
    </font>
    <font/>
    <font>
      <color theme="1"/>
      <name val="Calibri"/>
      <scheme val="minor"/>
    </font>
    <font>
      <i/>
      <sz val="9.0"/>
      <color rgb="FF666666"/>
      <name val="Calibri"/>
      <scheme val="minor"/>
    </font>
    <font>
      <b/>
      <sz val="11.0"/>
      <color rgb="FFFFFFFF"/>
      <name val="Calibri"/>
      <scheme val="minor"/>
    </font>
    <font>
      <b/>
      <sz val="13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rgb="FF0000FF"/>
      <name val="Calibri"/>
      <scheme val="minor"/>
    </font>
    <font>
      <b/>
      <sz val="12.0"/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0F766E"/>
        <bgColor rgb="FF0F766E"/>
      </patternFill>
    </fill>
    <fill>
      <patternFill patternType="solid">
        <fgColor rgb="FFF3F4F6"/>
        <bgColor rgb="FFF3F4F6"/>
      </patternFill>
    </fill>
    <fill>
      <patternFill patternType="solid">
        <fgColor rgb="FFD9EAF7"/>
        <bgColor rgb="FFD9EAF7"/>
      </patternFill>
    </fill>
    <fill>
      <patternFill patternType="solid">
        <fgColor rgb="FFFFF2CC"/>
        <bgColor rgb="FFFFF2CC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bottom style="thin">
        <color rgb="FFD9D9D9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4" numFmtId="0" xfId="0" applyFont="1"/>
    <xf borderId="1" fillId="3" fontId="5" numFmtId="0" xfId="0" applyAlignment="1" applyBorder="1" applyFill="1" applyFont="1">
      <alignment horizontal="center"/>
    </xf>
    <xf borderId="0" fillId="0" fontId="6" numFmtId="164" xfId="0" applyAlignment="1" applyFont="1" applyNumberFormat="1">
      <alignment horizontal="center" vertical="center"/>
    </xf>
    <xf borderId="0" fillId="0" fontId="6" numFmtId="6" xfId="0" applyAlignment="1" applyFont="1" applyNumberFormat="1">
      <alignment horizontal="center" vertical="center"/>
    </xf>
    <xf borderId="0" fillId="0" fontId="6" numFmtId="165" xfId="0" applyAlignment="1" applyFont="1" applyNumberFormat="1">
      <alignment horizontal="center" vertical="center"/>
    </xf>
    <xf borderId="4" fillId="4" fontId="7" numFmtId="0" xfId="0" applyBorder="1" applyFill="1" applyFont="1"/>
    <xf borderId="5" fillId="4" fontId="7" numFmtId="0" xfId="0" applyBorder="1" applyFont="1"/>
    <xf borderId="0" fillId="0" fontId="3" numFmtId="0" xfId="0" applyAlignment="1" applyFont="1">
      <alignment readingOrder="0"/>
    </xf>
    <xf borderId="0" fillId="0" fontId="8" numFmtId="6" xfId="0" applyFont="1" applyNumberFormat="1"/>
    <xf borderId="0" fillId="0" fontId="3" numFmtId="164" xfId="0" applyFont="1" applyNumberFormat="1"/>
    <xf borderId="0" fillId="0" fontId="8" numFmtId="165" xfId="0" applyFont="1" applyNumberFormat="1"/>
    <xf borderId="0" fillId="0" fontId="8" numFmtId="166" xfId="0" applyFont="1" applyNumberFormat="1"/>
    <xf borderId="1" fillId="2" fontId="1" numFmtId="0" xfId="0" applyAlignment="1" applyBorder="1" applyFont="1">
      <alignment horizontal="left" readingOrder="0" vertical="center"/>
    </xf>
    <xf borderId="0" fillId="2" fontId="1" numFmtId="0" xfId="0" applyAlignment="1" applyFont="1">
      <alignment horizontal="left" readingOrder="0" vertical="center"/>
    </xf>
    <xf borderId="5" fillId="5" fontId="9" numFmtId="0" xfId="0" applyAlignment="1" applyBorder="1" applyFill="1" applyFont="1">
      <alignment readingOrder="0"/>
    </xf>
    <xf borderId="5" fillId="5" fontId="9" numFmtId="0" xfId="0" applyBorder="1" applyFont="1"/>
    <xf borderId="0" fillId="5" fontId="9" numFmtId="0" xfId="0" applyFont="1"/>
    <xf borderId="0" fillId="3" fontId="5" numFmtId="0" xfId="0" applyAlignment="1" applyFont="1">
      <alignment horizontal="center"/>
    </xf>
    <xf borderId="1" fillId="3" fontId="5" numFmtId="0" xfId="0" applyAlignment="1" applyBorder="1" applyFont="1">
      <alignment horizontal="center" readingOrder="0"/>
    </xf>
    <xf borderId="0" fillId="0" fontId="10" numFmtId="164" xfId="0" applyAlignment="1" applyFont="1" applyNumberFormat="1">
      <alignment horizontal="center"/>
    </xf>
    <xf borderId="0" fillId="0" fontId="10" numFmtId="6" xfId="0" applyAlignment="1" applyFont="1" applyNumberFormat="1">
      <alignment horizontal="center"/>
    </xf>
    <xf borderId="0" fillId="0" fontId="10" numFmtId="165" xfId="0" applyAlignment="1" applyFont="1" applyNumberFormat="1">
      <alignment horizontal="center"/>
    </xf>
    <xf borderId="0" fillId="0" fontId="10" numFmtId="166" xfId="0" applyAlignment="1" applyFont="1" applyNumberFormat="1">
      <alignment horizontal="center"/>
    </xf>
    <xf borderId="5" fillId="6" fontId="8" numFmtId="0" xfId="0" applyBorder="1" applyFill="1" applyFont="1"/>
    <xf borderId="0" fillId="6" fontId="8" numFmtId="0" xfId="0" applyFont="1"/>
    <xf borderId="4" fillId="4" fontId="7" numFmtId="0" xfId="0" applyAlignment="1" applyBorder="1" applyFont="1">
      <alignment horizontal="center" shrinkToFit="0" wrapText="1"/>
    </xf>
    <xf borderId="4" fillId="4" fontId="7" numFmtId="0" xfId="0" applyAlignment="1" applyBorder="1" applyFont="1">
      <alignment horizontal="center" readingOrder="0" shrinkToFit="0" wrapText="1"/>
    </xf>
    <xf borderId="0" fillId="0" fontId="8" numFmtId="6" xfId="0" applyAlignment="1" applyFont="1" applyNumberFormat="1">
      <alignment readingOrder="0"/>
    </xf>
    <xf borderId="0" fillId="0" fontId="8" numFmtId="166" xfId="0" applyAlignment="1" applyFont="1" applyNumberFormat="1">
      <alignment readingOrder="0"/>
    </xf>
    <xf borderId="0" fillId="0" fontId="8" numFmtId="0" xfId="0" applyAlignment="1" applyFont="1">
      <alignment readingOrder="0"/>
    </xf>
    <xf borderId="0" fillId="0" fontId="8" numFmtId="167" xfId="0" applyFont="1" applyNumberFormat="1"/>
    <xf borderId="0" fillId="0" fontId="3" numFmtId="168" xfId="0" applyAlignment="1" applyFont="1" applyNumberFormat="1">
      <alignment readingOrder="0"/>
    </xf>
    <xf borderId="0" fillId="0" fontId="3" numFmtId="168" xfId="0" applyFont="1" applyNumberFormat="1"/>
    <xf borderId="0" fillId="0" fontId="8" numFmtId="169" xfId="0" applyAlignment="1" applyFont="1" applyNumberFormat="1">
      <alignment readingOrder="0"/>
    </xf>
  </cellXfs>
  <cellStyles count="1">
    <cellStyle xfId="0" name="Normal" builtinId="0"/>
  </cellStyles>
  <dxfs count="4"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7E6E6"/>
          <bgColor rgb="FFE7E6E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16.0"/>
    <col customWidth="1" min="2" max="2" width="11.0"/>
    <col customWidth="1" min="3" max="3" width="14.0"/>
    <col customWidth="1" min="4" max="4" width="12.0"/>
    <col customWidth="1" min="5" max="5" width="11.0"/>
    <col customWidth="1" min="6" max="6" width="10.0"/>
    <col customWidth="1" min="7" max="7" width="14.0"/>
    <col customWidth="1" min="8" max="8" width="20.29"/>
    <col customWidth="1" min="9" max="9" width="18.0"/>
    <col customWidth="1" min="10" max="10" width="8.71"/>
    <col customWidth="1" min="11" max="12" width="16.0"/>
    <col customWidth="1" min="13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3">
      <c r="A3" s="4" t="s">
        <v>1</v>
      </c>
      <c r="B3" s="5" t="s">
        <v>2</v>
      </c>
    </row>
    <row r="5">
      <c r="A5" s="6" t="s">
        <v>3</v>
      </c>
      <c r="B5" s="3"/>
      <c r="D5" s="6" t="s">
        <v>4</v>
      </c>
      <c r="E5" s="3"/>
      <c r="G5" s="6" t="s">
        <v>5</v>
      </c>
      <c r="H5" s="3"/>
    </row>
    <row r="6">
      <c r="A6" s="7">
        <f>SUM(B12:B21)</f>
        <v>0</v>
      </c>
      <c r="D6" s="8">
        <f>SUM(C12:C21)</f>
        <v>490792.7</v>
      </c>
      <c r="G6" s="7">
        <f>SUM(D12:D21)</f>
        <v>0</v>
      </c>
    </row>
    <row r="8">
      <c r="A8" s="6" t="s">
        <v>6</v>
      </c>
      <c r="B8" s="3"/>
      <c r="D8" s="6" t="s">
        <v>7</v>
      </c>
      <c r="E8" s="3"/>
      <c r="G8" s="6" t="s">
        <v>8</v>
      </c>
      <c r="H8" s="3"/>
    </row>
    <row r="9">
      <c r="A9" s="7">
        <f>SUM(E12:E21)</f>
        <v>0</v>
      </c>
      <c r="D9" s="7">
        <f>SUM(F12:F21)</f>
        <v>257</v>
      </c>
      <c r="G9" s="9">
        <f>IFERROR(AVERAGE(G12:G21),0)</f>
        <v>0</v>
      </c>
    </row>
    <row r="11">
      <c r="A11" s="10" t="s">
        <v>9</v>
      </c>
      <c r="B11" s="10" t="s">
        <v>10</v>
      </c>
      <c r="C11" s="10" t="s">
        <v>4</v>
      </c>
      <c r="D11" s="10" t="s">
        <v>11</v>
      </c>
      <c r="E11" s="10" t="s">
        <v>12</v>
      </c>
      <c r="F11" s="10" t="s">
        <v>13</v>
      </c>
      <c r="G11" s="10" t="s">
        <v>14</v>
      </c>
      <c r="H11" s="10" t="s">
        <v>15</v>
      </c>
      <c r="I11" s="10" t="s">
        <v>16</v>
      </c>
      <c r="K11" s="11" t="s">
        <v>17</v>
      </c>
      <c r="L11" s="11" t="s">
        <v>18</v>
      </c>
    </row>
    <row r="12">
      <c r="A12" s="12" t="s">
        <v>19</v>
      </c>
      <c r="B12" s="4" t="str">
        <f>'FINE CREATIONS'!B5</f>
        <v/>
      </c>
      <c r="C12" s="13">
        <f>'FINE CREATIONS'!D5</f>
        <v>390000</v>
      </c>
      <c r="D12" s="4" t="str">
        <f>'FINE CREATIONS'!G5</f>
        <v/>
      </c>
      <c r="E12" s="4" t="str">
        <f>'FINE CREATIONS'!I5</f>
        <v/>
      </c>
      <c r="F12" s="14">
        <f>'FINE CREATIONS'!K5</f>
        <v>6</v>
      </c>
      <c r="G12" s="15" t="str">
        <f>'FINE CREATIONS'!M5</f>
        <v/>
      </c>
      <c r="H12" s="16" t="str">
        <f>'FINE CREATIONS'!O5</f>
        <v/>
      </c>
      <c r="I12" s="4" t="str">
        <f t="shared" ref="I12:I21" si="1">IF(F12&gt;0,"Escalar atrasos",IF(E12&gt;0,"Dar seguimiento","Estable"))</f>
        <v>Escalar atrasos</v>
      </c>
      <c r="K12" s="4" t="str">
        <f>IF(SUM(F12:F21)&gt;0,"ROJO",IF(SUM(E12:E21)&gt;0,"AMARILLO","VERDE"))</f>
        <v>ROJO</v>
      </c>
      <c r="L12" s="13">
        <f>SUM(C12:C21)</f>
        <v>490792.7</v>
      </c>
    </row>
    <row r="13">
      <c r="A13" s="12" t="s">
        <v>20</v>
      </c>
      <c r="B13" s="4" t="str">
        <f>'CANPY LINA'!B5</f>
        <v/>
      </c>
      <c r="C13" s="13">
        <f>'CANPY LINA'!D5</f>
        <v>100792.7</v>
      </c>
      <c r="D13" s="4" t="str">
        <f>'CANPY LINA'!F5</f>
        <v/>
      </c>
      <c r="E13" s="4" t="str">
        <f>'CANPY LINA'!H5</f>
        <v/>
      </c>
      <c r="F13" s="14">
        <f>'CANPY LINA'!J5</f>
        <v>11</v>
      </c>
      <c r="G13" s="15" t="str">
        <f>'CANPY LINA'!L5</f>
        <v/>
      </c>
      <c r="H13" s="16" t="str">
        <f>'CANPY LINA'!N5</f>
        <v/>
      </c>
      <c r="I13" s="4" t="str">
        <f t="shared" si="1"/>
        <v>Escalar atrasos</v>
      </c>
    </row>
    <row r="14">
      <c r="A14" s="4" t="s">
        <v>21</v>
      </c>
      <c r="B14" s="4" t="str">
        <f>Prov_3!B5</f>
        <v/>
      </c>
      <c r="C14" s="13">
        <f>Prov_3!D5</f>
        <v>0</v>
      </c>
      <c r="D14" s="4" t="str">
        <f>Prov_3!F5</f>
        <v/>
      </c>
      <c r="E14" s="4" t="str">
        <f>Prov_3!H5</f>
        <v/>
      </c>
      <c r="F14" s="14">
        <f>Prov_3!J5</f>
        <v>30</v>
      </c>
      <c r="G14" s="15" t="str">
        <f>Prov_3!L5</f>
        <v/>
      </c>
      <c r="H14" s="16" t="str">
        <f>Prov_3!N5</f>
        <v/>
      </c>
      <c r="I14" s="4" t="str">
        <f t="shared" si="1"/>
        <v>Escalar atrasos</v>
      </c>
    </row>
    <row r="15">
      <c r="A15" s="4" t="s">
        <v>22</v>
      </c>
      <c r="B15" s="4" t="str">
        <f>Prov_4!B5</f>
        <v/>
      </c>
      <c r="C15" s="13">
        <f>Prov_4!D5</f>
        <v>0</v>
      </c>
      <c r="D15" s="4" t="str">
        <f>Prov_4!F5</f>
        <v/>
      </c>
      <c r="E15" s="4" t="str">
        <f>Prov_4!H5</f>
        <v/>
      </c>
      <c r="F15" s="14">
        <f>Prov_4!J5</f>
        <v>30</v>
      </c>
      <c r="G15" s="15" t="str">
        <f>Prov_4!L5</f>
        <v/>
      </c>
      <c r="H15" s="16" t="str">
        <f>Prov_4!N5</f>
        <v/>
      </c>
      <c r="I15" s="4" t="str">
        <f t="shared" si="1"/>
        <v>Escalar atrasos</v>
      </c>
    </row>
    <row r="16">
      <c r="A16" s="4" t="s">
        <v>23</v>
      </c>
      <c r="B16" s="4" t="str">
        <f>Prov_5!B5</f>
        <v/>
      </c>
      <c r="C16" s="13">
        <f>Prov_5!D5</f>
        <v>0</v>
      </c>
      <c r="D16" s="4" t="str">
        <f>Prov_5!F5</f>
        <v/>
      </c>
      <c r="E16" s="4" t="str">
        <f>Prov_5!H5</f>
        <v/>
      </c>
      <c r="F16" s="14">
        <f>Prov_5!J5</f>
        <v>30</v>
      </c>
      <c r="G16" s="15" t="str">
        <f>Prov_5!L5</f>
        <v/>
      </c>
      <c r="H16" s="16" t="str">
        <f>Prov_5!N5</f>
        <v/>
      </c>
      <c r="I16" s="4" t="str">
        <f t="shared" si="1"/>
        <v>Escalar atrasos</v>
      </c>
    </row>
    <row r="17">
      <c r="A17" s="4" t="s">
        <v>24</v>
      </c>
      <c r="B17" s="4" t="str">
        <f>Prov_6!B5</f>
        <v/>
      </c>
      <c r="C17" s="13">
        <f>Prov_6!D5</f>
        <v>0</v>
      </c>
      <c r="D17" s="4" t="str">
        <f>Prov_6!F5</f>
        <v/>
      </c>
      <c r="E17" s="4" t="str">
        <f>Prov_6!H5</f>
        <v/>
      </c>
      <c r="F17" s="14">
        <f>Prov_6!J5</f>
        <v>30</v>
      </c>
      <c r="G17" s="15" t="str">
        <f>Prov_6!L5</f>
        <v/>
      </c>
      <c r="H17" s="16" t="str">
        <f>Prov_6!N5</f>
        <v/>
      </c>
      <c r="I17" s="4" t="str">
        <f t="shared" si="1"/>
        <v>Escalar atrasos</v>
      </c>
    </row>
    <row r="18">
      <c r="A18" s="4" t="s">
        <v>25</v>
      </c>
      <c r="B18" s="4" t="str">
        <f>Prov_7!B5</f>
        <v/>
      </c>
      <c r="C18" s="13">
        <f>Prov_7!D5</f>
        <v>0</v>
      </c>
      <c r="D18" s="4" t="str">
        <f>Prov_7!F5</f>
        <v/>
      </c>
      <c r="E18" s="4" t="str">
        <f>Prov_7!H5</f>
        <v/>
      </c>
      <c r="F18" s="14">
        <f>Prov_7!J5</f>
        <v>30</v>
      </c>
      <c r="G18" s="15" t="str">
        <f>Prov_7!L5</f>
        <v/>
      </c>
      <c r="H18" s="16" t="str">
        <f>Prov_7!N5</f>
        <v/>
      </c>
      <c r="I18" s="4" t="str">
        <f t="shared" si="1"/>
        <v>Escalar atrasos</v>
      </c>
    </row>
    <row r="19">
      <c r="A19" s="4" t="s">
        <v>26</v>
      </c>
      <c r="B19" s="4" t="str">
        <f>Prov_8!B5</f>
        <v/>
      </c>
      <c r="C19" s="13">
        <f>Prov_8!D5</f>
        <v>0</v>
      </c>
      <c r="D19" s="4" t="str">
        <f>Prov_8!F5</f>
        <v/>
      </c>
      <c r="E19" s="4" t="str">
        <f>Prov_8!H5</f>
        <v/>
      </c>
      <c r="F19" s="14">
        <f>Prov_8!J5</f>
        <v>30</v>
      </c>
      <c r="G19" s="15" t="str">
        <f>Prov_8!L5</f>
        <v/>
      </c>
      <c r="H19" s="16" t="str">
        <f>Prov_8!N5</f>
        <v/>
      </c>
      <c r="I19" s="4" t="str">
        <f t="shared" si="1"/>
        <v>Escalar atrasos</v>
      </c>
    </row>
    <row r="20">
      <c r="A20" s="4" t="s">
        <v>27</v>
      </c>
      <c r="B20" s="4" t="str">
        <f>Prov_9!B5</f>
        <v/>
      </c>
      <c r="C20" s="13">
        <f>Prov_9!D5</f>
        <v>0</v>
      </c>
      <c r="D20" s="4" t="str">
        <f>Prov_9!F5</f>
        <v/>
      </c>
      <c r="E20" s="4" t="str">
        <f>Prov_9!H5</f>
        <v/>
      </c>
      <c r="F20" s="14">
        <f>Prov_9!J5</f>
        <v>30</v>
      </c>
      <c r="G20" s="15" t="str">
        <f>Prov_9!L5</f>
        <v/>
      </c>
      <c r="H20" s="16" t="str">
        <f>Prov_9!N5</f>
        <v/>
      </c>
      <c r="I20" s="4" t="str">
        <f t="shared" si="1"/>
        <v>Escalar atrasos</v>
      </c>
    </row>
    <row r="21" ht="15.75" customHeight="1">
      <c r="A21" s="4" t="s">
        <v>28</v>
      </c>
      <c r="B21" s="4" t="str">
        <f>Prov_10!B5</f>
        <v/>
      </c>
      <c r="C21" s="13">
        <f>Prov_10!D5</f>
        <v>0</v>
      </c>
      <c r="D21" s="4" t="str">
        <f>Prov_10!F5</f>
        <v/>
      </c>
      <c r="E21" s="4" t="str">
        <f>Prov_10!H5</f>
        <v/>
      </c>
      <c r="F21" s="14">
        <f>Prov_10!J5</f>
        <v>30</v>
      </c>
      <c r="G21" s="15" t="str">
        <f>Prov_10!L5</f>
        <v/>
      </c>
      <c r="H21" s="16" t="str">
        <f>Prov_10!N5</f>
        <v/>
      </c>
      <c r="I21" s="4" t="str">
        <f t="shared" si="1"/>
        <v>Escalar atrasos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>
      <c r="G48" s="12" t="s">
        <v>29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D6:E7"/>
    <mergeCell ref="D8:E8"/>
    <mergeCell ref="A9:B10"/>
    <mergeCell ref="D9:E10"/>
    <mergeCell ref="G9:H10"/>
    <mergeCell ref="A1:L1"/>
    <mergeCell ref="A5:B5"/>
    <mergeCell ref="D5:E5"/>
    <mergeCell ref="G5:H5"/>
    <mergeCell ref="A6:B7"/>
    <mergeCell ref="G6:H7"/>
    <mergeCell ref="A8:B8"/>
    <mergeCell ref="G8:H8"/>
  </mergeCells>
  <conditionalFormatting sqref="K12">
    <cfRule type="expression" dxfId="0" priority="1">
      <formula>K12="VERDE"</formula>
    </cfRule>
  </conditionalFormatting>
  <conditionalFormatting sqref="K12">
    <cfRule type="expression" dxfId="1" priority="2">
      <formula>K12="AMARILLO"</formula>
    </cfRule>
  </conditionalFormatting>
  <conditionalFormatting sqref="K12">
    <cfRule type="expression" dxfId="2" priority="3">
      <formula>K12="ROJO"</formula>
    </cfRule>
  </conditionalFormatting>
  <conditionalFormatting sqref="I12:I21">
    <cfRule type="expression" dxfId="0" priority="4">
      <formula>I12="Estable"</formula>
    </cfRule>
  </conditionalFormatting>
  <conditionalFormatting sqref="I12:I21">
    <cfRule type="expression" dxfId="1" priority="5">
      <formula>I12="Dar seguimiento"</formula>
    </cfRule>
  </conditionalFormatting>
  <conditionalFormatting sqref="I12:I21">
    <cfRule type="expression" dxfId="2" priority="6">
      <formula>I12="Escalar atrasos"</formula>
    </cfRule>
  </conditionalFormatting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0"/>
    <col customWidth="1" min="2" max="2" width="16.0"/>
    <col customWidth="1" min="3" max="4" width="14.0"/>
    <col customWidth="1" min="5" max="9" width="12.0"/>
    <col customWidth="1" min="10" max="10" width="24.0"/>
    <col customWidth="1" min="11" max="26" width="8.71"/>
  </cols>
  <sheetData>
    <row r="1">
      <c r="A1" s="1" t="s">
        <v>30</v>
      </c>
      <c r="B1" s="2"/>
      <c r="C1" s="2"/>
      <c r="D1" s="2"/>
      <c r="E1" s="2"/>
      <c r="F1" s="2"/>
      <c r="G1" s="2"/>
      <c r="H1" s="2"/>
      <c r="I1" s="2"/>
      <c r="J1" s="3"/>
    </row>
    <row r="4">
      <c r="A4" s="10" t="s">
        <v>31</v>
      </c>
      <c r="B4" s="10" t="s">
        <v>9</v>
      </c>
      <c r="C4" s="10" t="s">
        <v>32</v>
      </c>
      <c r="D4" s="10" t="s">
        <v>33</v>
      </c>
      <c r="E4" s="10" t="s">
        <v>34</v>
      </c>
      <c r="F4" s="10" t="s">
        <v>35</v>
      </c>
      <c r="G4" s="10" t="s">
        <v>36</v>
      </c>
      <c r="H4" s="10" t="s">
        <v>37</v>
      </c>
      <c r="I4" s="10" t="s">
        <v>38</v>
      </c>
      <c r="J4" s="10" t="s">
        <v>39</v>
      </c>
    </row>
    <row r="5">
      <c r="D5" s="13"/>
      <c r="E5" s="13"/>
      <c r="F5" s="13"/>
      <c r="G5" s="16"/>
      <c r="H5" s="16"/>
      <c r="I5" s="16"/>
    </row>
    <row r="6">
      <c r="D6" s="13"/>
      <c r="E6" s="13"/>
      <c r="F6" s="13"/>
      <c r="G6" s="16"/>
      <c r="H6" s="16"/>
      <c r="I6" s="16"/>
    </row>
    <row r="7">
      <c r="D7" s="13"/>
      <c r="E7" s="13"/>
      <c r="F7" s="13"/>
      <c r="G7" s="16"/>
      <c r="H7" s="16"/>
      <c r="I7" s="16"/>
    </row>
    <row r="8">
      <c r="D8" s="13"/>
      <c r="E8" s="13"/>
      <c r="F8" s="13"/>
      <c r="G8" s="16"/>
      <c r="H8" s="16"/>
      <c r="I8" s="16"/>
    </row>
    <row r="9">
      <c r="D9" s="13"/>
      <c r="E9" s="13"/>
      <c r="F9" s="13"/>
      <c r="G9" s="16"/>
      <c r="H9" s="16"/>
      <c r="I9" s="16"/>
    </row>
    <row r="10">
      <c r="D10" s="13"/>
      <c r="E10" s="13"/>
      <c r="F10" s="13"/>
      <c r="G10" s="16"/>
      <c r="H10" s="16"/>
      <c r="I10" s="16"/>
    </row>
    <row r="11">
      <c r="D11" s="13"/>
      <c r="E11" s="13"/>
      <c r="F11" s="13"/>
      <c r="G11" s="16"/>
      <c r="H11" s="16"/>
      <c r="I11" s="16"/>
    </row>
    <row r="12">
      <c r="D12" s="13"/>
      <c r="E12" s="13"/>
      <c r="F12" s="13"/>
      <c r="G12" s="16"/>
      <c r="H12" s="16"/>
      <c r="I12" s="16"/>
    </row>
    <row r="13">
      <c r="D13" s="13"/>
      <c r="E13" s="13"/>
      <c r="F13" s="13"/>
      <c r="G13" s="16"/>
      <c r="H13" s="16"/>
      <c r="I13" s="16"/>
    </row>
    <row r="14">
      <c r="D14" s="13"/>
      <c r="E14" s="13"/>
      <c r="F14" s="13"/>
      <c r="G14" s="16"/>
      <c r="H14" s="16"/>
      <c r="I14" s="16"/>
    </row>
    <row r="15">
      <c r="D15" s="13"/>
      <c r="E15" s="13"/>
      <c r="F15" s="13"/>
      <c r="G15" s="16"/>
      <c r="H15" s="16"/>
      <c r="I15" s="16"/>
    </row>
    <row r="16">
      <c r="D16" s="13"/>
      <c r="E16" s="13"/>
      <c r="F16" s="13"/>
      <c r="G16" s="16"/>
      <c r="H16" s="16"/>
      <c r="I16" s="16"/>
    </row>
    <row r="17">
      <c r="D17" s="13"/>
      <c r="E17" s="13"/>
      <c r="F17" s="13"/>
      <c r="G17" s="16"/>
      <c r="H17" s="16"/>
      <c r="I17" s="16"/>
    </row>
    <row r="18">
      <c r="D18" s="13"/>
      <c r="E18" s="13"/>
      <c r="F18" s="13"/>
      <c r="G18" s="16"/>
      <c r="H18" s="16"/>
      <c r="I18" s="16"/>
    </row>
    <row r="19">
      <c r="D19" s="13"/>
      <c r="E19" s="13"/>
      <c r="F19" s="13"/>
      <c r="G19" s="16"/>
      <c r="H19" s="16"/>
      <c r="I19" s="16"/>
    </row>
    <row r="20">
      <c r="D20" s="13"/>
      <c r="E20" s="13"/>
      <c r="F20" s="13"/>
      <c r="G20" s="16"/>
      <c r="H20" s="16"/>
      <c r="I20" s="16"/>
    </row>
    <row r="21" ht="15.75" customHeight="1">
      <c r="D21" s="13"/>
      <c r="E21" s="13"/>
      <c r="F21" s="13"/>
      <c r="G21" s="16"/>
      <c r="H21" s="16"/>
      <c r="I21" s="16"/>
    </row>
    <row r="22" ht="15.75" customHeight="1">
      <c r="D22" s="13"/>
      <c r="E22" s="13"/>
      <c r="F22" s="13"/>
      <c r="G22" s="16"/>
      <c r="H22" s="16"/>
      <c r="I22" s="16"/>
    </row>
    <row r="23" ht="15.75" customHeight="1">
      <c r="D23" s="13"/>
      <c r="E23" s="13"/>
      <c r="F23" s="13"/>
      <c r="G23" s="16"/>
      <c r="H23" s="16"/>
      <c r="I23" s="16"/>
    </row>
    <row r="24" ht="15.75" customHeight="1">
      <c r="D24" s="13"/>
      <c r="E24" s="13"/>
      <c r="F24" s="13"/>
      <c r="G24" s="16"/>
      <c r="H24" s="16"/>
      <c r="I24" s="16"/>
    </row>
    <row r="25" ht="15.75" customHeight="1">
      <c r="D25" s="13"/>
      <c r="E25" s="13"/>
      <c r="F25" s="13"/>
      <c r="G25" s="16"/>
      <c r="H25" s="16"/>
      <c r="I25" s="16"/>
    </row>
    <row r="26" ht="15.75" customHeight="1">
      <c r="D26" s="13"/>
      <c r="E26" s="13"/>
      <c r="F26" s="13"/>
      <c r="G26" s="16"/>
      <c r="H26" s="16"/>
      <c r="I26" s="16"/>
    </row>
    <row r="27" ht="15.75" customHeight="1">
      <c r="D27" s="13"/>
      <c r="E27" s="13"/>
      <c r="F27" s="13"/>
      <c r="G27" s="16"/>
      <c r="H27" s="16"/>
      <c r="I27" s="16"/>
    </row>
    <row r="28" ht="15.75" customHeight="1">
      <c r="D28" s="13"/>
      <c r="E28" s="13"/>
      <c r="F28" s="13"/>
      <c r="G28" s="16"/>
      <c r="H28" s="16"/>
      <c r="I28" s="16"/>
    </row>
    <row r="29" ht="15.75" customHeight="1">
      <c r="D29" s="13"/>
      <c r="E29" s="13"/>
      <c r="F29" s="13"/>
      <c r="G29" s="16"/>
      <c r="H29" s="16"/>
      <c r="I29" s="16"/>
    </row>
    <row r="30" ht="15.75" customHeight="1">
      <c r="D30" s="13"/>
      <c r="E30" s="13"/>
      <c r="F30" s="13"/>
      <c r="G30" s="16"/>
      <c r="H30" s="16"/>
      <c r="I30" s="16"/>
    </row>
    <row r="31" ht="15.75" customHeight="1">
      <c r="D31" s="13"/>
      <c r="E31" s="13"/>
      <c r="F31" s="13"/>
      <c r="G31" s="16"/>
      <c r="H31" s="16"/>
      <c r="I31" s="16"/>
    </row>
    <row r="32" ht="15.75" customHeight="1">
      <c r="D32" s="13"/>
      <c r="E32" s="13"/>
      <c r="F32" s="13"/>
      <c r="G32" s="16"/>
      <c r="H32" s="16"/>
      <c r="I32" s="16"/>
    </row>
    <row r="33" ht="15.75" customHeight="1">
      <c r="D33" s="13"/>
      <c r="E33" s="13"/>
      <c r="F33" s="13"/>
      <c r="G33" s="16"/>
      <c r="H33" s="16"/>
      <c r="I33" s="16"/>
    </row>
    <row r="34" ht="15.75" customHeight="1">
      <c r="D34" s="13"/>
      <c r="E34" s="13"/>
      <c r="F34" s="13"/>
      <c r="G34" s="16"/>
      <c r="H34" s="16"/>
      <c r="I34" s="16"/>
    </row>
    <row r="35" ht="15.75" customHeight="1">
      <c r="D35" s="13"/>
      <c r="E35" s="13"/>
      <c r="F35" s="13"/>
      <c r="G35" s="16"/>
      <c r="H35" s="16"/>
      <c r="I35" s="16"/>
    </row>
    <row r="36" ht="15.75" customHeight="1">
      <c r="D36" s="13"/>
      <c r="E36" s="13"/>
      <c r="F36" s="13"/>
      <c r="G36" s="16"/>
      <c r="H36" s="16"/>
      <c r="I36" s="16"/>
    </row>
    <row r="37" ht="15.75" customHeight="1">
      <c r="D37" s="13"/>
      <c r="E37" s="13"/>
      <c r="F37" s="13"/>
      <c r="G37" s="16"/>
      <c r="H37" s="16"/>
      <c r="I37" s="16"/>
    </row>
    <row r="38" ht="15.75" customHeight="1">
      <c r="D38" s="13"/>
      <c r="E38" s="13"/>
      <c r="F38" s="13"/>
      <c r="G38" s="16"/>
      <c r="H38" s="16"/>
      <c r="I38" s="16"/>
    </row>
    <row r="39" ht="15.75" customHeight="1">
      <c r="D39" s="13"/>
      <c r="E39" s="13"/>
      <c r="F39" s="13"/>
      <c r="G39" s="16"/>
      <c r="H39" s="16"/>
      <c r="I39" s="16"/>
    </row>
    <row r="40" ht="15.75" customHeight="1">
      <c r="D40" s="13"/>
      <c r="E40" s="13"/>
      <c r="F40" s="13"/>
      <c r="G40" s="16"/>
      <c r="H40" s="16"/>
      <c r="I40" s="16"/>
    </row>
    <row r="41" ht="15.75" customHeight="1">
      <c r="D41" s="13"/>
      <c r="E41" s="13"/>
      <c r="F41" s="13"/>
      <c r="G41" s="16"/>
      <c r="H41" s="16"/>
      <c r="I41" s="16"/>
    </row>
    <row r="42" ht="15.75" customHeight="1">
      <c r="D42" s="13"/>
      <c r="E42" s="13"/>
      <c r="F42" s="13"/>
      <c r="G42" s="16"/>
      <c r="H42" s="16"/>
      <c r="I42" s="16"/>
    </row>
    <row r="43" ht="15.75" customHeight="1">
      <c r="D43" s="13"/>
      <c r="E43" s="13"/>
      <c r="F43" s="13"/>
      <c r="G43" s="16"/>
      <c r="H43" s="16"/>
      <c r="I43" s="16"/>
    </row>
    <row r="44" ht="15.75" customHeight="1">
      <c r="D44" s="13"/>
      <c r="E44" s="13"/>
      <c r="F44" s="13"/>
      <c r="G44" s="16"/>
      <c r="H44" s="16"/>
      <c r="I44" s="16"/>
    </row>
    <row r="45" ht="15.75" customHeight="1">
      <c r="D45" s="13"/>
      <c r="E45" s="13"/>
      <c r="F45" s="13"/>
      <c r="G45" s="16"/>
      <c r="H45" s="16"/>
      <c r="I45" s="16"/>
    </row>
    <row r="46" ht="15.75" customHeight="1">
      <c r="D46" s="13"/>
      <c r="E46" s="13"/>
      <c r="F46" s="13"/>
      <c r="G46" s="16"/>
      <c r="H46" s="16"/>
      <c r="I46" s="16"/>
    </row>
    <row r="47" ht="15.75" customHeight="1">
      <c r="D47" s="13"/>
      <c r="E47" s="13"/>
      <c r="F47" s="13"/>
      <c r="G47" s="16"/>
      <c r="H47" s="16"/>
      <c r="I47" s="16"/>
    </row>
    <row r="48" ht="15.75" customHeight="1">
      <c r="D48" s="13"/>
      <c r="E48" s="13"/>
      <c r="F48" s="13"/>
      <c r="G48" s="16"/>
      <c r="H48" s="16"/>
      <c r="I48" s="16"/>
    </row>
    <row r="49" ht="15.75" customHeight="1">
      <c r="D49" s="13"/>
      <c r="E49" s="13"/>
      <c r="F49" s="13"/>
      <c r="G49" s="16"/>
      <c r="H49" s="16"/>
      <c r="I49" s="16"/>
    </row>
    <row r="50" ht="15.75" customHeight="1">
      <c r="D50" s="13"/>
      <c r="E50" s="13"/>
      <c r="F50" s="13"/>
      <c r="G50" s="16"/>
      <c r="H50" s="16"/>
      <c r="I50" s="16"/>
    </row>
    <row r="51" ht="15.75" customHeight="1">
      <c r="D51" s="13"/>
      <c r="E51" s="13"/>
      <c r="F51" s="13"/>
      <c r="G51" s="16"/>
      <c r="H51" s="16"/>
      <c r="I51" s="16"/>
    </row>
    <row r="52" ht="15.75" customHeight="1">
      <c r="D52" s="13"/>
      <c r="E52" s="13"/>
      <c r="F52" s="13"/>
      <c r="G52" s="16"/>
      <c r="H52" s="16"/>
      <c r="I52" s="16"/>
    </row>
    <row r="53" ht="15.75" customHeight="1">
      <c r="D53" s="13"/>
      <c r="E53" s="13"/>
      <c r="F53" s="13"/>
      <c r="G53" s="16"/>
      <c r="H53" s="16"/>
      <c r="I53" s="16"/>
    </row>
    <row r="54" ht="15.75" customHeight="1">
      <c r="D54" s="13"/>
      <c r="E54" s="13"/>
      <c r="F54" s="13"/>
      <c r="G54" s="16"/>
      <c r="H54" s="16"/>
      <c r="I54" s="16"/>
    </row>
    <row r="55" ht="15.75" customHeight="1">
      <c r="D55" s="13"/>
      <c r="E55" s="13"/>
      <c r="F55" s="13"/>
      <c r="G55" s="16"/>
      <c r="H55" s="16"/>
      <c r="I55" s="16"/>
    </row>
    <row r="56" ht="15.75" customHeight="1">
      <c r="D56" s="13"/>
      <c r="E56" s="13"/>
      <c r="F56" s="13"/>
      <c r="G56" s="16"/>
      <c r="H56" s="16"/>
      <c r="I56" s="16"/>
    </row>
    <row r="57" ht="15.75" customHeight="1">
      <c r="D57" s="13"/>
      <c r="E57" s="13"/>
      <c r="F57" s="13"/>
      <c r="G57" s="16"/>
      <c r="H57" s="16"/>
      <c r="I57" s="16"/>
    </row>
    <row r="58" ht="15.75" customHeight="1">
      <c r="D58" s="13"/>
      <c r="E58" s="13"/>
      <c r="F58" s="13"/>
      <c r="G58" s="16"/>
      <c r="H58" s="16"/>
      <c r="I58" s="16"/>
    </row>
    <row r="59" ht="15.75" customHeight="1">
      <c r="D59" s="13"/>
      <c r="E59" s="13"/>
      <c r="F59" s="13"/>
      <c r="G59" s="16"/>
      <c r="H59" s="16"/>
      <c r="I59" s="16"/>
    </row>
    <row r="60" ht="15.75" customHeight="1">
      <c r="D60" s="13"/>
      <c r="E60" s="13"/>
      <c r="F60" s="13"/>
      <c r="G60" s="16"/>
      <c r="H60" s="16"/>
      <c r="I60" s="16"/>
    </row>
    <row r="61" ht="15.75" customHeight="1">
      <c r="D61" s="13"/>
      <c r="E61" s="13"/>
      <c r="F61" s="13"/>
      <c r="G61" s="16"/>
      <c r="H61" s="16"/>
      <c r="I61" s="16"/>
    </row>
    <row r="62" ht="15.75" customHeight="1">
      <c r="D62" s="13"/>
      <c r="E62" s="13"/>
      <c r="F62" s="13"/>
      <c r="G62" s="16"/>
      <c r="H62" s="16"/>
      <c r="I62" s="16"/>
    </row>
    <row r="63" ht="15.75" customHeight="1">
      <c r="D63" s="13"/>
      <c r="E63" s="13"/>
      <c r="F63" s="13"/>
      <c r="G63" s="16"/>
      <c r="H63" s="16"/>
      <c r="I63" s="16"/>
    </row>
    <row r="64" ht="15.75" customHeight="1">
      <c r="D64" s="13"/>
      <c r="E64" s="13"/>
      <c r="F64" s="13"/>
      <c r="G64" s="16"/>
      <c r="H64" s="16"/>
      <c r="I64" s="16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J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17.0"/>
    <col customWidth="1" min="2" max="2" width="18.0"/>
    <col customWidth="1" min="3" max="3" width="13.0"/>
    <col customWidth="1" min="4" max="6" width="14.0"/>
    <col customWidth="1" min="7" max="8" width="12.0"/>
    <col customWidth="1" min="9" max="10" width="11.0"/>
    <col customWidth="1" min="11" max="11" width="13.0"/>
    <col customWidth="1" min="12" max="12" width="11.0"/>
    <col customWidth="1" min="13" max="13" width="13.0"/>
    <col customWidth="1" min="14" max="14" width="16.0"/>
    <col customWidth="1" min="15" max="15" width="14.0"/>
    <col customWidth="1" min="16" max="16" width="13.0"/>
    <col customWidth="1" min="17" max="18" width="16.0"/>
    <col customWidth="1" min="19" max="20" width="10.0"/>
    <col customWidth="1" min="21" max="21" width="11.0"/>
    <col customWidth="1" min="22" max="23" width="24.0"/>
    <col customWidth="1" min="24" max="28" width="8.71"/>
  </cols>
  <sheetData>
    <row r="1">
      <c r="A1" s="17" t="s">
        <v>40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  <c r="W1" s="18"/>
    </row>
    <row r="3">
      <c r="A3" s="4" t="s">
        <v>9</v>
      </c>
      <c r="B3" s="19" t="s">
        <v>19</v>
      </c>
      <c r="D3" s="4" t="s">
        <v>41</v>
      </c>
      <c r="E3" s="20"/>
      <c r="F3" s="21"/>
      <c r="H3" s="4" t="s">
        <v>42</v>
      </c>
      <c r="I3" s="20" t="s">
        <v>43</v>
      </c>
      <c r="K3" s="4" t="s">
        <v>44</v>
      </c>
      <c r="L3" s="20"/>
    </row>
    <row r="4">
      <c r="A4" s="6" t="s">
        <v>10</v>
      </c>
      <c r="B4" s="3"/>
      <c r="D4" s="6" t="s">
        <v>4</v>
      </c>
      <c r="E4" s="3"/>
      <c r="F4" s="22"/>
      <c r="H4" s="6" t="s">
        <v>11</v>
      </c>
      <c r="I4" s="3"/>
      <c r="K4" s="6" t="s">
        <v>12</v>
      </c>
      <c r="L4" s="3"/>
      <c r="N4" s="6" t="s">
        <v>13</v>
      </c>
      <c r="O4" s="3"/>
      <c r="Q4" s="6" t="s">
        <v>14</v>
      </c>
      <c r="R4" s="3"/>
      <c r="T4" s="6" t="s">
        <v>15</v>
      </c>
      <c r="U4" s="3"/>
      <c r="W4" s="23" t="s">
        <v>45</v>
      </c>
      <c r="X4" s="3"/>
    </row>
    <row r="5">
      <c r="A5" s="24">
        <f>COUNTIF(A11:A40,"&lt;&gt;")</f>
        <v>6</v>
      </c>
      <c r="D5" s="25">
        <f>SUM(E11:E40)</f>
        <v>390000</v>
      </c>
      <c r="F5" s="25"/>
      <c r="H5" s="24">
        <f>COUNTIF(S11:S40,"COMPLETA")</f>
        <v>0</v>
      </c>
      <c r="K5" s="24">
        <f>COUNTIFS(S11:S40,"&lt;&gt;COMPLETA",A11:A40,"&lt;&gt;")</f>
        <v>6</v>
      </c>
      <c r="N5" s="24">
        <f>COUNTIF(U11:U40,"ROJO")</f>
        <v>0</v>
      </c>
      <c r="Q5" s="26">
        <f>IFERROR(AVERAGE(T11:T40),0)</f>
        <v>0</v>
      </c>
      <c r="T5" s="27">
        <f>IFERROR(MINIFS(H11:H40,S11:S40,"&lt;&gt;COMPLETA",H11:H40,"&gt;0"),0)</f>
        <v>46147</v>
      </c>
      <c r="W5" s="25">
        <f>SUM(E11:E37)-SUM(W11:W31)</f>
        <v>380000</v>
      </c>
    </row>
    <row r="6">
      <c r="F6" s="25"/>
    </row>
    <row r="8">
      <c r="A8" s="4" t="s">
        <v>46</v>
      </c>
      <c r="B8" s="4" t="str">
        <f>IF(K5&gt;0,"ROJO",IF(I5&gt;0,"AMARILLO","VERDE"))</f>
        <v>ROJO</v>
      </c>
      <c r="D8" s="4" t="s">
        <v>47</v>
      </c>
      <c r="E8" s="28" t="str">
        <f>IF(B8="ROJO","Escalar órdenes vencidas",IF(B8="AMARILLO","Monitorear órdenes activas","Operación estable"))</f>
        <v>Escalar órdenes vencidas</v>
      </c>
      <c r="F8" s="29"/>
    </row>
    <row r="10">
      <c r="A10" s="30" t="s">
        <v>32</v>
      </c>
      <c r="B10" s="30" t="s">
        <v>48</v>
      </c>
      <c r="C10" s="30" t="s">
        <v>49</v>
      </c>
      <c r="D10" s="30" t="s">
        <v>44</v>
      </c>
      <c r="E10" s="30" t="s">
        <v>33</v>
      </c>
      <c r="F10" s="31" t="s">
        <v>50</v>
      </c>
      <c r="G10" s="30" t="s">
        <v>37</v>
      </c>
      <c r="H10" s="30" t="s">
        <v>38</v>
      </c>
      <c r="I10" s="30" t="s">
        <v>51</v>
      </c>
      <c r="J10" s="30" t="s">
        <v>52</v>
      </c>
      <c r="K10" s="30" t="s">
        <v>53</v>
      </c>
      <c r="L10" s="30" t="s">
        <v>34</v>
      </c>
      <c r="M10" s="30" t="s">
        <v>54</v>
      </c>
      <c r="N10" s="30" t="s">
        <v>55</v>
      </c>
      <c r="O10" s="30" t="s">
        <v>56</v>
      </c>
      <c r="P10" s="30" t="s">
        <v>57</v>
      </c>
      <c r="Q10" s="30" t="s">
        <v>58</v>
      </c>
      <c r="R10" s="30" t="s">
        <v>59</v>
      </c>
      <c r="S10" s="30" t="s">
        <v>60</v>
      </c>
      <c r="T10" s="30" t="s">
        <v>61</v>
      </c>
      <c r="U10" s="30" t="s">
        <v>62</v>
      </c>
      <c r="V10" s="30" t="s">
        <v>39</v>
      </c>
      <c r="W10" s="31" t="s">
        <v>63</v>
      </c>
    </row>
    <row r="11">
      <c r="A11" s="12" t="s">
        <v>64</v>
      </c>
      <c r="B11" s="12" t="s">
        <v>65</v>
      </c>
      <c r="C11" s="12" t="s">
        <v>66</v>
      </c>
      <c r="D11" s="12" t="s">
        <v>67</v>
      </c>
      <c r="E11" s="32">
        <v>50000.0</v>
      </c>
      <c r="F11" s="33">
        <v>46145.0</v>
      </c>
      <c r="G11" s="33">
        <v>46146.0</v>
      </c>
      <c r="H11" s="33">
        <v>46147.0</v>
      </c>
      <c r="I11" s="34" t="s">
        <v>68</v>
      </c>
      <c r="J11" s="34" t="s">
        <v>69</v>
      </c>
      <c r="K11" s="34" t="s">
        <v>70</v>
      </c>
      <c r="L11" s="34" t="s">
        <v>70</v>
      </c>
      <c r="M11" s="34" t="s">
        <v>71</v>
      </c>
      <c r="N11" s="16"/>
      <c r="O11" s="16"/>
      <c r="P11" s="16"/>
      <c r="Q11" s="4" t="str">
        <f t="shared" ref="Q11:Q40" si="1">IF(P11&lt;&gt;"","Llega bodega",IF(O11&lt;&gt;"","Llega puerto MX",IF(N11&lt;&gt;"","Sale puerto origen",IF(M11&lt;&gt;"","Producción OK",IF(L11&lt;&gt;"","Anticipo",IF(K11&lt;&gt;"","Info empaque",IF(J11&lt;&gt;"","Aprobar",IF(I11&lt;&gt;"","Cotizar","Sin iniciar"))))))))</f>
        <v>Producción OK</v>
      </c>
      <c r="R11" s="4" t="str">
        <f t="shared" ref="R11:R40" si="2">IF(A11="","",IF(P11&lt;&gt;"","COMPLETA",IF(N11&lt;&gt;"","EN TRÁNSITO",IF(M11&lt;&gt;"","EN PRODUCCIÓN",IF(L11&lt;&gt;"","PAGADA / EN ESPERA","EN GESTIÓN")))))</f>
        <v>EN PRODUCCIÓN</v>
      </c>
      <c r="S11" s="15">
        <f t="shared" ref="S11:S40" si="3">COUNT(I11:P11)/8</f>
        <v>0</v>
      </c>
      <c r="T11" s="4" t="str">
        <f t="shared" ref="T11:T40" si="4">IF(A11="","",IF(P11&lt;&gt;"","VERDE",IF(AND(H11&lt;&gt;"",TODAY()&gt;H11),"ROJO",IF(COUNT(I11:P11)=0,"GRIS","AMARILLO"))))</f>
        <v>ROJO</v>
      </c>
      <c r="U11" s="35" t="str">
        <f t="shared" ref="U11:U40" si="5">IF(COUNT(I11:P11)=0,"",TODAY()-MAX(I11:P11))</f>
        <v/>
      </c>
      <c r="W11" s="36">
        <v>10000.0</v>
      </c>
    </row>
    <row r="12">
      <c r="A12" s="12" t="s">
        <v>72</v>
      </c>
      <c r="B12" s="12" t="s">
        <v>73</v>
      </c>
      <c r="C12" s="12" t="s">
        <v>74</v>
      </c>
      <c r="D12" s="12" t="s">
        <v>67</v>
      </c>
      <c r="E12" s="32">
        <v>70000.0</v>
      </c>
      <c r="F12" s="33">
        <v>46146.0</v>
      </c>
      <c r="G12" s="33">
        <v>46147.0</v>
      </c>
      <c r="H12" s="33">
        <v>46165.0</v>
      </c>
      <c r="I12" s="34" t="s">
        <v>68</v>
      </c>
      <c r="J12" s="34" t="s">
        <v>69</v>
      </c>
      <c r="K12" s="16"/>
      <c r="L12" s="16"/>
      <c r="M12" s="16"/>
      <c r="N12" s="16"/>
      <c r="O12" s="16"/>
      <c r="P12" s="16"/>
      <c r="Q12" s="4" t="str">
        <f t="shared" si="1"/>
        <v>Aprobar</v>
      </c>
      <c r="R12" s="4" t="str">
        <f t="shared" si="2"/>
        <v>EN GESTIÓN</v>
      </c>
      <c r="S12" s="15">
        <f t="shared" si="3"/>
        <v>0</v>
      </c>
      <c r="T12" s="4" t="str">
        <f t="shared" si="4"/>
        <v>ROJO</v>
      </c>
      <c r="U12" s="35" t="str">
        <f t="shared" si="5"/>
        <v/>
      </c>
      <c r="W12" s="37"/>
    </row>
    <row r="13">
      <c r="A13" s="12" t="s">
        <v>75</v>
      </c>
      <c r="B13" s="12" t="s">
        <v>76</v>
      </c>
      <c r="C13" s="12" t="s">
        <v>77</v>
      </c>
      <c r="D13" s="12" t="s">
        <v>67</v>
      </c>
      <c r="E13" s="32">
        <v>70000.0</v>
      </c>
      <c r="F13" s="33">
        <v>46122.0</v>
      </c>
      <c r="G13" s="33">
        <v>46157.0</v>
      </c>
      <c r="H13" s="33">
        <v>46221.0</v>
      </c>
      <c r="I13" s="34" t="s">
        <v>68</v>
      </c>
      <c r="J13" s="34" t="s">
        <v>69</v>
      </c>
      <c r="K13" s="34" t="s">
        <v>78</v>
      </c>
      <c r="L13" s="34" t="s">
        <v>79</v>
      </c>
      <c r="M13" s="34" t="s">
        <v>71</v>
      </c>
      <c r="N13" s="34" t="s">
        <v>80</v>
      </c>
      <c r="O13" s="38">
        <v>46228.0</v>
      </c>
      <c r="P13" s="38">
        <v>415061.0</v>
      </c>
      <c r="Q13" s="4" t="str">
        <f t="shared" si="1"/>
        <v>Llega bodega</v>
      </c>
      <c r="R13" s="4" t="str">
        <f t="shared" si="2"/>
        <v>COMPLETA</v>
      </c>
      <c r="S13" s="15">
        <f t="shared" si="3"/>
        <v>0.25</v>
      </c>
      <c r="T13" s="4" t="str">
        <f t="shared" si="4"/>
        <v>VERDE</v>
      </c>
      <c r="U13" s="35">
        <f t="shared" si="5"/>
        <v>-368889</v>
      </c>
      <c r="W13" s="37"/>
    </row>
    <row r="14">
      <c r="A14" s="12" t="s">
        <v>81</v>
      </c>
      <c r="B14" s="12" t="s">
        <v>82</v>
      </c>
      <c r="C14" s="12" t="s">
        <v>83</v>
      </c>
      <c r="D14" s="12" t="s">
        <v>67</v>
      </c>
      <c r="E14" s="32">
        <v>90000.0</v>
      </c>
      <c r="F14" s="33">
        <v>46123.0</v>
      </c>
      <c r="G14" s="33">
        <v>46158.0</v>
      </c>
      <c r="H14" s="33">
        <v>46222.0</v>
      </c>
      <c r="I14" s="34" t="s">
        <v>68</v>
      </c>
      <c r="J14" s="16"/>
      <c r="K14" s="16"/>
      <c r="L14" s="16"/>
      <c r="M14" s="16"/>
      <c r="N14" s="16"/>
      <c r="O14" s="16"/>
      <c r="P14" s="38">
        <v>46057.0</v>
      </c>
      <c r="Q14" s="4" t="str">
        <f t="shared" si="1"/>
        <v>Llega bodega</v>
      </c>
      <c r="R14" s="4" t="str">
        <f t="shared" si="2"/>
        <v>COMPLETA</v>
      </c>
      <c r="S14" s="15">
        <f t="shared" si="3"/>
        <v>0.125</v>
      </c>
      <c r="T14" s="4" t="str">
        <f t="shared" si="4"/>
        <v>VERDE</v>
      </c>
      <c r="U14" s="35">
        <f t="shared" si="5"/>
        <v>115</v>
      </c>
      <c r="W14" s="37"/>
    </row>
    <row r="15">
      <c r="A15" s="12" t="s">
        <v>84</v>
      </c>
      <c r="B15" s="12" t="s">
        <v>85</v>
      </c>
      <c r="C15" s="12" t="s">
        <v>86</v>
      </c>
      <c r="E15" s="32">
        <v>110000.0</v>
      </c>
      <c r="F15" s="33">
        <v>46124.0</v>
      </c>
      <c r="G15" s="33">
        <v>46159.0</v>
      </c>
      <c r="H15" s="33">
        <v>46223.0</v>
      </c>
      <c r="I15" s="16"/>
      <c r="J15" s="16"/>
      <c r="K15" s="16"/>
      <c r="L15" s="16"/>
      <c r="M15" s="16"/>
      <c r="N15" s="16"/>
      <c r="O15" s="16"/>
      <c r="P15" s="16"/>
      <c r="Q15" s="4" t="str">
        <f t="shared" si="1"/>
        <v>Sin iniciar</v>
      </c>
      <c r="R15" s="4" t="str">
        <f t="shared" si="2"/>
        <v>EN GESTIÓN</v>
      </c>
      <c r="S15" s="15">
        <f t="shared" si="3"/>
        <v>0</v>
      </c>
      <c r="T15" s="4" t="str">
        <f t="shared" si="4"/>
        <v>GRIS</v>
      </c>
      <c r="U15" s="35" t="str">
        <f t="shared" si="5"/>
        <v/>
      </c>
      <c r="W15" s="37"/>
    </row>
    <row r="16">
      <c r="A16" s="12" t="s">
        <v>87</v>
      </c>
      <c r="E16" s="13"/>
      <c r="F16" s="13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4" t="str">
        <f t="shared" si="1"/>
        <v>Sin iniciar</v>
      </c>
      <c r="R16" s="4" t="str">
        <f t="shared" si="2"/>
        <v>EN GESTIÓN</v>
      </c>
      <c r="S16" s="15">
        <f t="shared" si="3"/>
        <v>0</v>
      </c>
      <c r="T16" s="4" t="str">
        <f t="shared" si="4"/>
        <v>GRIS</v>
      </c>
      <c r="U16" s="35" t="str">
        <f t="shared" si="5"/>
        <v/>
      </c>
      <c r="W16" s="37"/>
    </row>
    <row r="17">
      <c r="E17" s="13"/>
      <c r="F17" s="13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4" t="str">
        <f t="shared" si="1"/>
        <v>Sin iniciar</v>
      </c>
      <c r="R17" s="4" t="str">
        <f t="shared" si="2"/>
        <v/>
      </c>
      <c r="S17" s="15">
        <f t="shared" si="3"/>
        <v>0</v>
      </c>
      <c r="T17" s="4" t="str">
        <f t="shared" si="4"/>
        <v/>
      </c>
      <c r="U17" s="35" t="str">
        <f t="shared" si="5"/>
        <v/>
      </c>
      <c r="W17" s="37"/>
    </row>
    <row r="18">
      <c r="E18" s="13"/>
      <c r="F18" s="13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4" t="str">
        <f t="shared" si="1"/>
        <v>Sin iniciar</v>
      </c>
      <c r="R18" s="4" t="str">
        <f t="shared" si="2"/>
        <v/>
      </c>
      <c r="S18" s="15">
        <f t="shared" si="3"/>
        <v>0</v>
      </c>
      <c r="T18" s="4" t="str">
        <f t="shared" si="4"/>
        <v/>
      </c>
      <c r="U18" s="35" t="str">
        <f t="shared" si="5"/>
        <v/>
      </c>
      <c r="W18" s="37"/>
    </row>
    <row r="19">
      <c r="E19" s="13"/>
      <c r="F19" s="13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4" t="str">
        <f t="shared" si="1"/>
        <v>Sin iniciar</v>
      </c>
      <c r="R19" s="4" t="str">
        <f t="shared" si="2"/>
        <v/>
      </c>
      <c r="S19" s="15">
        <f t="shared" si="3"/>
        <v>0</v>
      </c>
      <c r="T19" s="4" t="str">
        <f t="shared" si="4"/>
        <v/>
      </c>
      <c r="U19" s="35" t="str">
        <f t="shared" si="5"/>
        <v/>
      </c>
      <c r="W19" s="37"/>
    </row>
    <row r="20">
      <c r="E20" s="13"/>
      <c r="F20" s="13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4" t="str">
        <f t="shared" si="1"/>
        <v>Sin iniciar</v>
      </c>
      <c r="R20" s="4" t="str">
        <f t="shared" si="2"/>
        <v/>
      </c>
      <c r="S20" s="15">
        <f t="shared" si="3"/>
        <v>0</v>
      </c>
      <c r="T20" s="4" t="str">
        <f t="shared" si="4"/>
        <v/>
      </c>
      <c r="U20" s="35" t="str">
        <f t="shared" si="5"/>
        <v/>
      </c>
      <c r="W20" s="37"/>
    </row>
    <row r="21" ht="15.75" customHeight="1">
      <c r="E21" s="13"/>
      <c r="F21" s="13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4" t="str">
        <f t="shared" si="1"/>
        <v>Sin iniciar</v>
      </c>
      <c r="R21" s="4" t="str">
        <f t="shared" si="2"/>
        <v/>
      </c>
      <c r="S21" s="15">
        <f t="shared" si="3"/>
        <v>0</v>
      </c>
      <c r="T21" s="4" t="str">
        <f t="shared" si="4"/>
        <v/>
      </c>
      <c r="U21" s="35" t="str">
        <f t="shared" si="5"/>
        <v/>
      </c>
      <c r="W21" s="37"/>
    </row>
    <row r="22" ht="15.75" customHeight="1">
      <c r="E22" s="13"/>
      <c r="F22" s="13"/>
      <c r="G22" s="16"/>
      <c r="H22" s="16"/>
      <c r="I22" s="34" t="s">
        <v>88</v>
      </c>
      <c r="J22" s="16"/>
      <c r="K22" s="16"/>
      <c r="L22" s="16"/>
      <c r="M22" s="16"/>
      <c r="N22" s="16"/>
      <c r="O22" s="16"/>
      <c r="P22" s="16"/>
      <c r="Q22" s="4" t="str">
        <f t="shared" si="1"/>
        <v>Cotizar</v>
      </c>
      <c r="R22" s="4" t="str">
        <f t="shared" si="2"/>
        <v/>
      </c>
      <c r="S22" s="15">
        <f t="shared" si="3"/>
        <v>0</v>
      </c>
      <c r="T22" s="4" t="str">
        <f t="shared" si="4"/>
        <v/>
      </c>
      <c r="U22" s="35" t="str">
        <f t="shared" si="5"/>
        <v/>
      </c>
      <c r="W22" s="37"/>
    </row>
    <row r="23" ht="15.75" customHeight="1">
      <c r="E23" s="13"/>
      <c r="F23" s="13"/>
      <c r="G23" s="16"/>
      <c r="H23" s="16"/>
      <c r="I23" s="34" t="s">
        <v>89</v>
      </c>
      <c r="J23" s="16"/>
      <c r="K23" s="16"/>
      <c r="L23" s="16"/>
      <c r="M23" s="16"/>
      <c r="N23" s="16"/>
      <c r="O23" s="16"/>
      <c r="P23" s="16"/>
      <c r="Q23" s="4" t="str">
        <f t="shared" si="1"/>
        <v>Cotizar</v>
      </c>
      <c r="R23" s="4" t="str">
        <f t="shared" si="2"/>
        <v/>
      </c>
      <c r="S23" s="15">
        <f t="shared" si="3"/>
        <v>0</v>
      </c>
      <c r="T23" s="4" t="str">
        <f t="shared" si="4"/>
        <v/>
      </c>
      <c r="U23" s="35" t="str">
        <f t="shared" si="5"/>
        <v/>
      </c>
      <c r="W23" s="37"/>
    </row>
    <row r="24" ht="15.75" customHeight="1">
      <c r="E24" s="13"/>
      <c r="F24" s="13"/>
      <c r="G24" s="16"/>
      <c r="H24" s="16"/>
      <c r="I24" s="34" t="s">
        <v>90</v>
      </c>
      <c r="J24" s="16"/>
      <c r="K24" s="16"/>
      <c r="L24" s="16"/>
      <c r="M24" s="16"/>
      <c r="N24" s="16"/>
      <c r="O24" s="16"/>
      <c r="P24" s="16"/>
      <c r="Q24" s="4" t="str">
        <f t="shared" si="1"/>
        <v>Cotizar</v>
      </c>
      <c r="R24" s="4" t="str">
        <f t="shared" si="2"/>
        <v/>
      </c>
      <c r="S24" s="15">
        <f t="shared" si="3"/>
        <v>0</v>
      </c>
      <c r="T24" s="4" t="str">
        <f t="shared" si="4"/>
        <v/>
      </c>
      <c r="U24" s="35" t="str">
        <f t="shared" si="5"/>
        <v/>
      </c>
      <c r="W24" s="37"/>
    </row>
    <row r="25" ht="15.75" customHeight="1">
      <c r="E25" s="13"/>
      <c r="F25" s="13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4" t="str">
        <f t="shared" si="1"/>
        <v>Sin iniciar</v>
      </c>
      <c r="R25" s="4" t="str">
        <f t="shared" si="2"/>
        <v/>
      </c>
      <c r="S25" s="15">
        <f t="shared" si="3"/>
        <v>0</v>
      </c>
      <c r="T25" s="4" t="str">
        <f t="shared" si="4"/>
        <v/>
      </c>
      <c r="U25" s="35" t="str">
        <f t="shared" si="5"/>
        <v/>
      </c>
      <c r="W25" s="37"/>
    </row>
    <row r="26" ht="15.75" customHeight="1">
      <c r="E26" s="13"/>
      <c r="F26" s="13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4" t="str">
        <f t="shared" si="1"/>
        <v>Sin iniciar</v>
      </c>
      <c r="R26" s="4" t="str">
        <f t="shared" si="2"/>
        <v/>
      </c>
      <c r="S26" s="15">
        <f t="shared" si="3"/>
        <v>0</v>
      </c>
      <c r="T26" s="4" t="str">
        <f t="shared" si="4"/>
        <v/>
      </c>
      <c r="U26" s="35" t="str">
        <f t="shared" si="5"/>
        <v/>
      </c>
      <c r="W26" s="37"/>
    </row>
    <row r="27" ht="15.75" customHeight="1">
      <c r="E27" s="13"/>
      <c r="F27" s="13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4" t="str">
        <f t="shared" si="1"/>
        <v>Sin iniciar</v>
      </c>
      <c r="R27" s="4" t="str">
        <f t="shared" si="2"/>
        <v/>
      </c>
      <c r="S27" s="15">
        <f t="shared" si="3"/>
        <v>0</v>
      </c>
      <c r="T27" s="4" t="str">
        <f t="shared" si="4"/>
        <v/>
      </c>
      <c r="U27" s="35" t="str">
        <f t="shared" si="5"/>
        <v/>
      </c>
      <c r="W27" s="37"/>
    </row>
    <row r="28" ht="15.75" customHeight="1">
      <c r="E28" s="13"/>
      <c r="F28" s="13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4" t="str">
        <f t="shared" si="1"/>
        <v>Sin iniciar</v>
      </c>
      <c r="R28" s="4" t="str">
        <f t="shared" si="2"/>
        <v/>
      </c>
      <c r="S28" s="15">
        <f t="shared" si="3"/>
        <v>0</v>
      </c>
      <c r="T28" s="4" t="str">
        <f t="shared" si="4"/>
        <v/>
      </c>
      <c r="U28" s="35" t="str">
        <f t="shared" si="5"/>
        <v/>
      </c>
      <c r="W28" s="37"/>
    </row>
    <row r="29" ht="15.75" customHeight="1">
      <c r="E29" s="13"/>
      <c r="F29" s="13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4" t="str">
        <f t="shared" si="1"/>
        <v>Sin iniciar</v>
      </c>
      <c r="R29" s="4" t="str">
        <f t="shared" si="2"/>
        <v/>
      </c>
      <c r="S29" s="15">
        <f t="shared" si="3"/>
        <v>0</v>
      </c>
      <c r="T29" s="4" t="str">
        <f t="shared" si="4"/>
        <v/>
      </c>
      <c r="U29" s="35" t="str">
        <f t="shared" si="5"/>
        <v/>
      </c>
      <c r="W29" s="37"/>
    </row>
    <row r="30" ht="15.75" customHeight="1">
      <c r="E30" s="13"/>
      <c r="F30" s="13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4" t="str">
        <f t="shared" si="1"/>
        <v>Sin iniciar</v>
      </c>
      <c r="R30" s="4" t="str">
        <f t="shared" si="2"/>
        <v/>
      </c>
      <c r="S30" s="15">
        <f t="shared" si="3"/>
        <v>0</v>
      </c>
      <c r="T30" s="4" t="str">
        <f t="shared" si="4"/>
        <v/>
      </c>
      <c r="U30" s="35" t="str">
        <f t="shared" si="5"/>
        <v/>
      </c>
      <c r="W30" s="37"/>
    </row>
    <row r="31" ht="15.75" customHeight="1">
      <c r="E31" s="13"/>
      <c r="F31" s="13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4" t="str">
        <f t="shared" si="1"/>
        <v>Sin iniciar</v>
      </c>
      <c r="R31" s="4" t="str">
        <f t="shared" si="2"/>
        <v/>
      </c>
      <c r="S31" s="15">
        <f t="shared" si="3"/>
        <v>0</v>
      </c>
      <c r="T31" s="4" t="str">
        <f t="shared" si="4"/>
        <v/>
      </c>
      <c r="U31" s="35" t="str">
        <f t="shared" si="5"/>
        <v/>
      </c>
      <c r="W31" s="37"/>
    </row>
    <row r="32" ht="15.75" customHeight="1">
      <c r="E32" s="13"/>
      <c r="F32" s="13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4" t="str">
        <f t="shared" si="1"/>
        <v>Sin iniciar</v>
      </c>
      <c r="R32" s="4" t="str">
        <f t="shared" si="2"/>
        <v/>
      </c>
      <c r="S32" s="15">
        <f t="shared" si="3"/>
        <v>0</v>
      </c>
      <c r="T32" s="4" t="str">
        <f t="shared" si="4"/>
        <v/>
      </c>
      <c r="U32" s="35" t="str">
        <f t="shared" si="5"/>
        <v/>
      </c>
      <c r="W32" s="37"/>
    </row>
    <row r="33" ht="15.75" customHeight="1">
      <c r="E33" s="13"/>
      <c r="F33" s="13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4" t="str">
        <f t="shared" si="1"/>
        <v>Sin iniciar</v>
      </c>
      <c r="R33" s="4" t="str">
        <f t="shared" si="2"/>
        <v/>
      </c>
      <c r="S33" s="15">
        <f t="shared" si="3"/>
        <v>0</v>
      </c>
      <c r="T33" s="4" t="str">
        <f t="shared" si="4"/>
        <v/>
      </c>
      <c r="U33" s="35" t="str">
        <f t="shared" si="5"/>
        <v/>
      </c>
    </row>
    <row r="34" ht="15.75" customHeight="1">
      <c r="E34" s="13"/>
      <c r="F34" s="13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4" t="str">
        <f t="shared" si="1"/>
        <v>Sin iniciar</v>
      </c>
      <c r="R34" s="4" t="str">
        <f t="shared" si="2"/>
        <v/>
      </c>
      <c r="S34" s="15">
        <f t="shared" si="3"/>
        <v>0</v>
      </c>
      <c r="T34" s="4" t="str">
        <f t="shared" si="4"/>
        <v/>
      </c>
      <c r="U34" s="35" t="str">
        <f t="shared" si="5"/>
        <v/>
      </c>
    </row>
    <row r="35" ht="15.75" customHeight="1">
      <c r="E35" s="13"/>
      <c r="F35" s="13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4" t="str">
        <f t="shared" si="1"/>
        <v>Sin iniciar</v>
      </c>
      <c r="R35" s="4" t="str">
        <f t="shared" si="2"/>
        <v/>
      </c>
      <c r="S35" s="15">
        <f t="shared" si="3"/>
        <v>0</v>
      </c>
      <c r="T35" s="4" t="str">
        <f t="shared" si="4"/>
        <v/>
      </c>
      <c r="U35" s="35" t="str">
        <f t="shared" si="5"/>
        <v/>
      </c>
    </row>
    <row r="36" ht="15.75" customHeight="1">
      <c r="E36" s="13"/>
      <c r="F36" s="13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4" t="str">
        <f t="shared" si="1"/>
        <v>Sin iniciar</v>
      </c>
      <c r="R36" s="4" t="str">
        <f t="shared" si="2"/>
        <v/>
      </c>
      <c r="S36" s="15">
        <f t="shared" si="3"/>
        <v>0</v>
      </c>
      <c r="T36" s="4" t="str">
        <f t="shared" si="4"/>
        <v/>
      </c>
      <c r="U36" s="35" t="str">
        <f t="shared" si="5"/>
        <v/>
      </c>
    </row>
    <row r="37" ht="15.75" customHeight="1">
      <c r="E37" s="13"/>
      <c r="F37" s="13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4" t="str">
        <f t="shared" si="1"/>
        <v>Sin iniciar</v>
      </c>
      <c r="R37" s="4" t="str">
        <f t="shared" si="2"/>
        <v/>
      </c>
      <c r="S37" s="15">
        <f t="shared" si="3"/>
        <v>0</v>
      </c>
      <c r="T37" s="4" t="str">
        <f t="shared" si="4"/>
        <v/>
      </c>
      <c r="U37" s="35" t="str">
        <f t="shared" si="5"/>
        <v/>
      </c>
    </row>
    <row r="38" ht="15.75" customHeight="1">
      <c r="E38" s="13"/>
      <c r="F38" s="13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4" t="str">
        <f t="shared" si="1"/>
        <v>Sin iniciar</v>
      </c>
      <c r="R38" s="4" t="str">
        <f t="shared" si="2"/>
        <v/>
      </c>
      <c r="S38" s="15">
        <f t="shared" si="3"/>
        <v>0</v>
      </c>
      <c r="T38" s="4" t="str">
        <f t="shared" si="4"/>
        <v/>
      </c>
      <c r="U38" s="35" t="str">
        <f t="shared" si="5"/>
        <v/>
      </c>
    </row>
    <row r="39" ht="15.75" customHeight="1">
      <c r="E39" s="13"/>
      <c r="F39" s="13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4" t="str">
        <f t="shared" si="1"/>
        <v>Sin iniciar</v>
      </c>
      <c r="R39" s="4" t="str">
        <f t="shared" si="2"/>
        <v/>
      </c>
      <c r="S39" s="15">
        <f t="shared" si="3"/>
        <v>0</v>
      </c>
      <c r="T39" s="4" t="str">
        <f t="shared" si="4"/>
        <v/>
      </c>
      <c r="U39" s="35" t="str">
        <f t="shared" si="5"/>
        <v/>
      </c>
    </row>
    <row r="40" ht="15.75" customHeight="1">
      <c r="E40" s="13"/>
      <c r="F40" s="13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4" t="str">
        <f t="shared" si="1"/>
        <v>Sin iniciar</v>
      </c>
      <c r="R40" s="4" t="str">
        <f t="shared" si="2"/>
        <v/>
      </c>
      <c r="S40" s="15">
        <f t="shared" si="3"/>
        <v>0</v>
      </c>
      <c r="T40" s="4" t="str">
        <f t="shared" si="4"/>
        <v/>
      </c>
      <c r="U40" s="35" t="str">
        <f t="shared" si="5"/>
        <v/>
      </c>
    </row>
    <row r="41" ht="15.75" customHeight="1"/>
    <row r="42" ht="15.75" customHeight="1">
      <c r="A42" s="4" t="s">
        <v>91</v>
      </c>
      <c r="B42" s="4" t="s">
        <v>92</v>
      </c>
    </row>
    <row r="43" ht="15.75" customHeight="1">
      <c r="A43" s="4" t="s">
        <v>93</v>
      </c>
      <c r="B43" s="4" t="s">
        <v>94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T4:U4"/>
    <mergeCell ref="W4:X4"/>
    <mergeCell ref="W5:X6"/>
    <mergeCell ref="D4:E4"/>
    <mergeCell ref="D5:E6"/>
    <mergeCell ref="K4:L4"/>
    <mergeCell ref="K5:L6"/>
    <mergeCell ref="Q4:R4"/>
    <mergeCell ref="Q5:R6"/>
    <mergeCell ref="A1:V1"/>
    <mergeCell ref="A4:B4"/>
    <mergeCell ref="H4:I4"/>
    <mergeCell ref="N4:O4"/>
    <mergeCell ref="A5:B6"/>
    <mergeCell ref="H5:I6"/>
    <mergeCell ref="N5:O6"/>
    <mergeCell ref="T5:U6"/>
  </mergeCells>
  <conditionalFormatting sqref="B8">
    <cfRule type="expression" dxfId="0" priority="1">
      <formula>B8="VERDE"</formula>
    </cfRule>
  </conditionalFormatting>
  <conditionalFormatting sqref="B8">
    <cfRule type="expression" dxfId="1" priority="2">
      <formula>B8="AMARILLO"</formula>
    </cfRule>
  </conditionalFormatting>
  <conditionalFormatting sqref="B8">
    <cfRule type="expression" dxfId="2" priority="3">
      <formula>B8="ROJO"</formula>
    </cfRule>
  </conditionalFormatting>
  <conditionalFormatting sqref="I11:I40">
    <cfRule type="expression" dxfId="0" priority="4">
      <formula>I11&lt;&gt;""</formula>
    </cfRule>
  </conditionalFormatting>
  <conditionalFormatting sqref="I11:I40">
    <cfRule type="expression" dxfId="1" priority="5">
      <formula>AND($A11&lt;&gt;"",$I11="")</formula>
    </cfRule>
  </conditionalFormatting>
  <conditionalFormatting sqref="I11:I40">
    <cfRule type="expression" dxfId="3" priority="6">
      <formula>AND($A11&lt;&gt;"",I11="")</formula>
    </cfRule>
  </conditionalFormatting>
  <conditionalFormatting sqref="J11:J40">
    <cfRule type="expression" dxfId="0" priority="7">
      <formula>J11&lt;&gt;""</formula>
    </cfRule>
  </conditionalFormatting>
  <conditionalFormatting sqref="J11:J40">
    <cfRule type="expression" dxfId="1" priority="8">
      <formula>AND($I11&lt;&gt;"",$J11="")</formula>
    </cfRule>
  </conditionalFormatting>
  <conditionalFormatting sqref="J11:J40">
    <cfRule type="expression" dxfId="3" priority="9">
      <formula>AND($A11&lt;&gt;"",J11="")</formula>
    </cfRule>
  </conditionalFormatting>
  <conditionalFormatting sqref="K11:K40">
    <cfRule type="expression" dxfId="0" priority="10">
      <formula>K11&lt;&gt;""</formula>
    </cfRule>
  </conditionalFormatting>
  <conditionalFormatting sqref="K11:K40">
    <cfRule type="expression" dxfId="1" priority="11">
      <formula>AND($J11&lt;&gt;"",$K11="")</formula>
    </cfRule>
  </conditionalFormatting>
  <conditionalFormatting sqref="K11:K40">
    <cfRule type="expression" dxfId="3" priority="12">
      <formula>AND($A11&lt;&gt;"",K11="")</formula>
    </cfRule>
  </conditionalFormatting>
  <conditionalFormatting sqref="L11:L40">
    <cfRule type="expression" dxfId="0" priority="13">
      <formula>L11&lt;&gt;""</formula>
    </cfRule>
  </conditionalFormatting>
  <conditionalFormatting sqref="L11:L40">
    <cfRule type="expression" dxfId="1" priority="14">
      <formula>AND($K11&lt;&gt;"",$L11="")</formula>
    </cfRule>
  </conditionalFormatting>
  <conditionalFormatting sqref="L11:L40">
    <cfRule type="expression" dxfId="3" priority="15">
      <formula>AND($A11&lt;&gt;"",L11="")</formula>
    </cfRule>
  </conditionalFormatting>
  <conditionalFormatting sqref="M11:M40">
    <cfRule type="expression" dxfId="0" priority="16">
      <formula>M11&lt;&gt;""</formula>
    </cfRule>
  </conditionalFormatting>
  <conditionalFormatting sqref="M11:M40">
    <cfRule type="expression" dxfId="1" priority="17">
      <formula>AND($L11&lt;&gt;"",$M11="")</formula>
    </cfRule>
  </conditionalFormatting>
  <conditionalFormatting sqref="M11:M40">
    <cfRule type="expression" dxfId="3" priority="18">
      <formula>AND($A11&lt;&gt;"",M11="")</formula>
    </cfRule>
  </conditionalFormatting>
  <conditionalFormatting sqref="N11:N40">
    <cfRule type="expression" dxfId="0" priority="19">
      <formula>N11&lt;&gt;""</formula>
    </cfRule>
  </conditionalFormatting>
  <conditionalFormatting sqref="N11:N40">
    <cfRule type="expression" dxfId="1" priority="20">
      <formula>AND($M11&lt;&gt;"",$N11="")</formula>
    </cfRule>
  </conditionalFormatting>
  <conditionalFormatting sqref="N11:N40">
    <cfRule type="expression" dxfId="3" priority="21">
      <formula>AND($A11&lt;&gt;"",N11="")</formula>
    </cfRule>
  </conditionalFormatting>
  <conditionalFormatting sqref="O11:O40">
    <cfRule type="expression" dxfId="0" priority="22">
      <formula>O11&lt;&gt;""</formula>
    </cfRule>
  </conditionalFormatting>
  <conditionalFormatting sqref="O11:O40">
    <cfRule type="expression" dxfId="1" priority="23">
      <formula>AND($N11&lt;&gt;"",$O11="")</formula>
    </cfRule>
  </conditionalFormatting>
  <conditionalFormatting sqref="O11:O40">
    <cfRule type="expression" dxfId="3" priority="24">
      <formula>AND($A11&lt;&gt;"",O11="")</formula>
    </cfRule>
  </conditionalFormatting>
  <conditionalFormatting sqref="P11:P40">
    <cfRule type="expression" dxfId="0" priority="25">
      <formula>P11&lt;&gt;""</formula>
    </cfRule>
  </conditionalFormatting>
  <conditionalFormatting sqref="P11:P40">
    <cfRule type="expression" dxfId="1" priority="26">
      <formula>AND($O11&lt;&gt;"",$P11="")</formula>
    </cfRule>
  </conditionalFormatting>
  <conditionalFormatting sqref="P11:P40">
    <cfRule type="expression" dxfId="3" priority="27">
      <formula>AND($A11&lt;&gt;"",P11="")</formula>
    </cfRule>
  </conditionalFormatting>
  <conditionalFormatting sqref="U11:U40">
    <cfRule type="expression" dxfId="0" priority="28">
      <formula>U11="VERDE"</formula>
    </cfRule>
  </conditionalFormatting>
  <conditionalFormatting sqref="U11:U40">
    <cfRule type="expression" dxfId="1" priority="29">
      <formula>U11="AMARILLO"</formula>
    </cfRule>
  </conditionalFormatting>
  <conditionalFormatting sqref="U11:U40">
    <cfRule type="expression" dxfId="2" priority="30">
      <formula>U11="ROJO"</formula>
    </cfRule>
  </conditionalFormatting>
  <conditionalFormatting sqref="U11:U40">
    <cfRule type="expression" dxfId="3" priority="31">
      <formula>U11="GRIS"</formula>
    </cfRule>
  </conditionalFormatting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21.57"/>
    <col customWidth="1" min="2" max="2" width="18.0"/>
    <col customWidth="1" min="3" max="3" width="15.57"/>
    <col customWidth="1" min="4" max="4" width="17.57"/>
    <col customWidth="1" min="5" max="5" width="14.0"/>
    <col customWidth="1" min="6" max="7" width="12.0"/>
    <col customWidth="1" min="8" max="9" width="11.0"/>
    <col customWidth="1" min="10" max="10" width="13.0"/>
    <col customWidth="1" min="11" max="11" width="11.0"/>
    <col customWidth="1" min="12" max="12" width="13.0"/>
    <col customWidth="1" min="13" max="13" width="16.0"/>
    <col customWidth="1" min="14" max="14" width="14.0"/>
    <col customWidth="1" min="15" max="15" width="13.0"/>
    <col customWidth="1" min="16" max="17" width="16.0"/>
    <col customWidth="1" min="18" max="19" width="10.0"/>
    <col customWidth="1" min="20" max="20" width="11.0"/>
    <col customWidth="1" min="21" max="21" width="24.0"/>
    <col customWidth="1" min="22" max="26" width="8.71"/>
  </cols>
  <sheetData>
    <row r="1">
      <c r="A1" s="17" t="s">
        <v>95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</row>
    <row r="3">
      <c r="A3" s="4" t="s">
        <v>9</v>
      </c>
      <c r="B3" s="19" t="s">
        <v>96</v>
      </c>
      <c r="D3" s="4" t="s">
        <v>41</v>
      </c>
      <c r="E3" s="20"/>
      <c r="G3" s="4" t="s">
        <v>42</v>
      </c>
      <c r="H3" s="20" t="s">
        <v>43</v>
      </c>
      <c r="J3" s="4" t="s">
        <v>44</v>
      </c>
      <c r="K3" s="20"/>
    </row>
    <row r="4">
      <c r="A4" s="6" t="s">
        <v>10</v>
      </c>
      <c r="B4" s="3"/>
      <c r="D4" s="6" t="s">
        <v>4</v>
      </c>
      <c r="E4" s="3"/>
      <c r="G4" s="6" t="s">
        <v>11</v>
      </c>
      <c r="H4" s="3"/>
      <c r="J4" s="6" t="s">
        <v>12</v>
      </c>
      <c r="K4" s="3"/>
      <c r="M4" s="6" t="s">
        <v>13</v>
      </c>
      <c r="N4" s="3"/>
      <c r="P4" s="6" t="s">
        <v>14</v>
      </c>
      <c r="Q4" s="3"/>
      <c r="S4" s="6" t="s">
        <v>15</v>
      </c>
      <c r="T4" s="3"/>
    </row>
    <row r="5">
      <c r="A5" s="24">
        <f>COUNTIF(A11:A40,"&lt;&gt;")</f>
        <v>11</v>
      </c>
      <c r="D5" s="25">
        <f>SUM(E11:E40)</f>
        <v>100792.7</v>
      </c>
      <c r="G5" s="24">
        <f>COUNTIF(R11:R40,"COMPLETA")</f>
        <v>0</v>
      </c>
      <c r="J5" s="24">
        <f>COUNTIFS(R11:R40,"&lt;&gt;COMPLETA",A11:A40,"&lt;&gt;")</f>
        <v>11</v>
      </c>
      <c r="M5" s="24">
        <f>COUNTIF(T11:T40,"ROJO")</f>
        <v>0</v>
      </c>
      <c r="P5" s="26">
        <f>IFERROR(AVERAGE(S11:S40),0)</f>
        <v>0</v>
      </c>
      <c r="S5" s="27">
        <f>IFERROR(MINIFS(G11:G40,R11:R40,"&lt;&gt;COMPLETA",G11:G40,"&gt;0"),0)</f>
        <v>0</v>
      </c>
    </row>
    <row r="8">
      <c r="A8" s="4" t="s">
        <v>46</v>
      </c>
      <c r="B8" s="4" t="str">
        <f>IF(J5&gt;0,"ROJO",IF(H5&gt;0,"AMARILLO","VERDE"))</f>
        <v>ROJO</v>
      </c>
      <c r="D8" s="4" t="s">
        <v>47</v>
      </c>
      <c r="E8" s="28" t="str">
        <f>IF(B8="ROJO","Escalar órdenes vencidas",IF(B8="AMARILLO","Monitorear órdenes activas","Operación estable"))</f>
        <v>Escalar órdenes vencidas</v>
      </c>
    </row>
    <row r="10">
      <c r="A10" s="30" t="s">
        <v>32</v>
      </c>
      <c r="B10" s="30" t="s">
        <v>48</v>
      </c>
      <c r="C10" s="30" t="s">
        <v>49</v>
      </c>
      <c r="D10" s="30" t="s">
        <v>44</v>
      </c>
      <c r="E10" s="30" t="s">
        <v>33</v>
      </c>
      <c r="F10" s="30" t="s">
        <v>37</v>
      </c>
      <c r="G10" s="30" t="s">
        <v>38</v>
      </c>
      <c r="H10" s="30" t="s">
        <v>51</v>
      </c>
      <c r="I10" s="30" t="s">
        <v>52</v>
      </c>
      <c r="J10" s="30" t="s">
        <v>53</v>
      </c>
      <c r="K10" s="30" t="s">
        <v>34</v>
      </c>
      <c r="L10" s="30" t="s">
        <v>54</v>
      </c>
      <c r="M10" s="30" t="s">
        <v>55</v>
      </c>
      <c r="N10" s="30" t="s">
        <v>56</v>
      </c>
      <c r="O10" s="30" t="s">
        <v>57</v>
      </c>
      <c r="P10" s="30" t="s">
        <v>58</v>
      </c>
      <c r="Q10" s="30" t="s">
        <v>59</v>
      </c>
      <c r="R10" s="30" t="s">
        <v>60</v>
      </c>
      <c r="S10" s="30" t="s">
        <v>61</v>
      </c>
      <c r="T10" s="30" t="s">
        <v>62</v>
      </c>
      <c r="U10" s="30" t="s">
        <v>39</v>
      </c>
    </row>
    <row r="11">
      <c r="A11" s="12" t="s">
        <v>97</v>
      </c>
      <c r="B11" s="12" t="s">
        <v>98</v>
      </c>
      <c r="C11" s="12" t="s">
        <v>99</v>
      </c>
      <c r="E11" s="32">
        <v>13590.0</v>
      </c>
      <c r="F11" s="16"/>
      <c r="G11" s="16"/>
      <c r="H11" s="34" t="s">
        <v>100</v>
      </c>
      <c r="I11" s="34" t="s">
        <v>100</v>
      </c>
      <c r="J11" s="34" t="s">
        <v>100</v>
      </c>
      <c r="K11" s="34" t="s">
        <v>100</v>
      </c>
      <c r="L11" s="34" t="s">
        <v>100</v>
      </c>
      <c r="M11" s="38">
        <v>46023.0</v>
      </c>
      <c r="N11" s="38">
        <v>46037.0</v>
      </c>
      <c r="O11" s="38">
        <v>46052.0</v>
      </c>
      <c r="P11" s="4" t="str">
        <f t="shared" ref="P11:P40" si="1">IF(O11&lt;&gt;"","Llega bodega",IF(N11&lt;&gt;"","Llega puerto MX",IF(M11&lt;&gt;"","Sale puerto origen",IF(L11&lt;&gt;"","Producción OK",IF(K11&lt;&gt;"","Anticipo",IF(J11&lt;&gt;"","Info empaque",IF(I11&lt;&gt;"","Aprobar",IF(H11&lt;&gt;"","Cotizar","Sin iniciar"))))))))</f>
        <v>Llega bodega</v>
      </c>
      <c r="Q11" s="4" t="str">
        <f t="shared" ref="Q11:Q40" si="2">IF(A11="","",IF(O11&lt;&gt;"","COMPLETA",IF(M11&lt;&gt;"","EN TRÁNSITO",IF(L11&lt;&gt;"","EN PRODUCCIÓN",IF(K11&lt;&gt;"","PAGADA / EN ESPERA","EN GESTIÓN")))))</f>
        <v>COMPLETA</v>
      </c>
      <c r="R11" s="15">
        <f t="shared" ref="R11:R40" si="3">COUNT(H11:O11)/8</f>
        <v>0.375</v>
      </c>
      <c r="S11" s="4" t="str">
        <f t="shared" ref="S11:S40" si="4">IF(A11="","",IF(O11&lt;&gt;"","VERDE",IF(AND(G11&lt;&gt;"",TODAY()&gt;G11),"ROJO",IF(COUNT(H11:O11)=0,"GRIS","AMARILLO"))))</f>
        <v>VERDE</v>
      </c>
      <c r="T11" s="35">
        <f t="shared" ref="T11:T40" si="5">IF(COUNT(H11:O11)=0,"",TODAY()-MAX(H11:O11))</f>
        <v>120</v>
      </c>
    </row>
    <row r="12">
      <c r="A12" s="12" t="s">
        <v>101</v>
      </c>
      <c r="B12" s="12" t="s">
        <v>102</v>
      </c>
      <c r="C12" s="12" t="s">
        <v>103</v>
      </c>
      <c r="E12" s="32">
        <v>12240.0</v>
      </c>
      <c r="F12" s="16"/>
      <c r="G12" s="16"/>
      <c r="H12" s="34" t="s">
        <v>100</v>
      </c>
      <c r="I12" s="34" t="s">
        <v>100</v>
      </c>
      <c r="J12" s="34" t="s">
        <v>100</v>
      </c>
      <c r="K12" s="34" t="s">
        <v>100</v>
      </c>
      <c r="L12" s="34" t="s">
        <v>100</v>
      </c>
      <c r="M12" s="16"/>
      <c r="N12" s="16"/>
      <c r="O12" s="16"/>
      <c r="P12" s="4" t="str">
        <f t="shared" si="1"/>
        <v>Producción OK</v>
      </c>
      <c r="Q12" s="4" t="str">
        <f t="shared" si="2"/>
        <v>EN PRODUCCIÓN</v>
      </c>
      <c r="R12" s="15">
        <f t="shared" si="3"/>
        <v>0</v>
      </c>
      <c r="S12" s="4" t="str">
        <f t="shared" si="4"/>
        <v>GRIS</v>
      </c>
      <c r="T12" s="35" t="str">
        <f t="shared" si="5"/>
        <v/>
      </c>
    </row>
    <row r="13">
      <c r="A13" s="12" t="s">
        <v>104</v>
      </c>
      <c r="B13" s="12" t="s">
        <v>105</v>
      </c>
      <c r="C13" s="12" t="s">
        <v>106</v>
      </c>
      <c r="E13" s="32">
        <v>21276.4</v>
      </c>
      <c r="F13" s="16"/>
      <c r="G13" s="16"/>
      <c r="H13" s="34" t="s">
        <v>100</v>
      </c>
      <c r="I13" s="34" t="s">
        <v>100</v>
      </c>
      <c r="J13" s="34" t="s">
        <v>100</v>
      </c>
      <c r="K13" s="34" t="s">
        <v>100</v>
      </c>
      <c r="L13" s="34" t="s">
        <v>100</v>
      </c>
      <c r="M13" s="16"/>
      <c r="N13" s="16"/>
      <c r="O13" s="16"/>
      <c r="P13" s="4" t="str">
        <f t="shared" si="1"/>
        <v>Producción OK</v>
      </c>
      <c r="Q13" s="4" t="str">
        <f t="shared" si="2"/>
        <v>EN PRODUCCIÓN</v>
      </c>
      <c r="R13" s="15">
        <f t="shared" si="3"/>
        <v>0</v>
      </c>
      <c r="S13" s="4" t="str">
        <f t="shared" si="4"/>
        <v>GRIS</v>
      </c>
      <c r="T13" s="35" t="str">
        <f t="shared" si="5"/>
        <v/>
      </c>
    </row>
    <row r="14">
      <c r="A14" s="12" t="s">
        <v>107</v>
      </c>
      <c r="B14" s="12" t="s">
        <v>108</v>
      </c>
      <c r="C14" s="12" t="s">
        <v>109</v>
      </c>
      <c r="E14" s="32">
        <v>14693.8</v>
      </c>
      <c r="F14" s="16"/>
      <c r="G14" s="16"/>
      <c r="H14" s="34" t="s">
        <v>100</v>
      </c>
      <c r="I14" s="34" t="s">
        <v>100</v>
      </c>
      <c r="J14" s="34" t="s">
        <v>100</v>
      </c>
      <c r="K14" s="34" t="s">
        <v>100</v>
      </c>
      <c r="L14" s="16"/>
      <c r="M14" s="16"/>
      <c r="N14" s="16"/>
      <c r="O14" s="16"/>
      <c r="P14" s="4" t="str">
        <f t="shared" si="1"/>
        <v>Anticipo</v>
      </c>
      <c r="Q14" s="4" t="str">
        <f t="shared" si="2"/>
        <v>PAGADA / EN ESPERA</v>
      </c>
      <c r="R14" s="15">
        <f t="shared" si="3"/>
        <v>0</v>
      </c>
      <c r="S14" s="4" t="str">
        <f t="shared" si="4"/>
        <v>GRIS</v>
      </c>
      <c r="T14" s="35" t="str">
        <f t="shared" si="5"/>
        <v/>
      </c>
    </row>
    <row r="15">
      <c r="A15" s="12" t="s">
        <v>110</v>
      </c>
      <c r="B15" s="12" t="s">
        <v>111</v>
      </c>
      <c r="C15" s="12" t="s">
        <v>112</v>
      </c>
      <c r="E15" s="32">
        <v>14031.0</v>
      </c>
      <c r="F15" s="16"/>
      <c r="G15" s="16"/>
      <c r="H15" s="34" t="s">
        <v>100</v>
      </c>
      <c r="I15" s="34" t="s">
        <v>100</v>
      </c>
      <c r="J15" s="34" t="s">
        <v>100</v>
      </c>
      <c r="K15" s="34" t="s">
        <v>100</v>
      </c>
      <c r="L15" s="16"/>
      <c r="M15" s="16"/>
      <c r="N15" s="16"/>
      <c r="O15" s="16"/>
      <c r="P15" s="4" t="str">
        <f t="shared" si="1"/>
        <v>Anticipo</v>
      </c>
      <c r="Q15" s="4" t="str">
        <f t="shared" si="2"/>
        <v>PAGADA / EN ESPERA</v>
      </c>
      <c r="R15" s="15">
        <f t="shared" si="3"/>
        <v>0</v>
      </c>
      <c r="S15" s="4" t="str">
        <f t="shared" si="4"/>
        <v>GRIS</v>
      </c>
      <c r="T15" s="35" t="str">
        <f t="shared" si="5"/>
        <v/>
      </c>
    </row>
    <row r="16">
      <c r="A16" s="12" t="s">
        <v>113</v>
      </c>
      <c r="B16" s="12" t="s">
        <v>114</v>
      </c>
      <c r="C16" s="12" t="s">
        <v>115</v>
      </c>
      <c r="E16" s="32">
        <v>11977.8</v>
      </c>
      <c r="F16" s="16"/>
      <c r="G16" s="16"/>
      <c r="H16" s="34" t="s">
        <v>100</v>
      </c>
      <c r="I16" s="34" t="s">
        <v>100</v>
      </c>
      <c r="J16" s="34" t="s">
        <v>100</v>
      </c>
      <c r="K16" s="16"/>
      <c r="L16" s="16"/>
      <c r="M16" s="16"/>
      <c r="N16" s="16"/>
      <c r="O16" s="16"/>
      <c r="P16" s="4" t="str">
        <f t="shared" si="1"/>
        <v>Info empaque</v>
      </c>
      <c r="Q16" s="4" t="str">
        <f t="shared" si="2"/>
        <v>EN GESTIÓN</v>
      </c>
      <c r="R16" s="15">
        <f t="shared" si="3"/>
        <v>0</v>
      </c>
      <c r="S16" s="4" t="str">
        <f t="shared" si="4"/>
        <v>GRIS</v>
      </c>
      <c r="T16" s="35" t="str">
        <f t="shared" si="5"/>
        <v/>
      </c>
    </row>
    <row r="17">
      <c r="A17" s="12" t="s">
        <v>116</v>
      </c>
      <c r="B17" s="12" t="s">
        <v>117</v>
      </c>
      <c r="C17" s="12" t="s">
        <v>118</v>
      </c>
      <c r="E17" s="32">
        <v>12983.7</v>
      </c>
      <c r="F17" s="16"/>
      <c r="G17" s="16"/>
      <c r="H17" s="34" t="s">
        <v>119</v>
      </c>
      <c r="I17" s="34" t="s">
        <v>100</v>
      </c>
      <c r="J17" s="16"/>
      <c r="K17" s="16"/>
      <c r="L17" s="16"/>
      <c r="M17" s="16"/>
      <c r="N17" s="16"/>
      <c r="O17" s="16"/>
      <c r="P17" s="4" t="str">
        <f t="shared" si="1"/>
        <v>Aprobar</v>
      </c>
      <c r="Q17" s="4" t="str">
        <f t="shared" si="2"/>
        <v>EN GESTIÓN</v>
      </c>
      <c r="R17" s="15">
        <f t="shared" si="3"/>
        <v>0</v>
      </c>
      <c r="S17" s="4" t="str">
        <f t="shared" si="4"/>
        <v>GRIS</v>
      </c>
      <c r="T17" s="35" t="str">
        <f t="shared" si="5"/>
        <v/>
      </c>
    </row>
    <row r="18">
      <c r="A18" s="12" t="s">
        <v>120</v>
      </c>
      <c r="B18" s="12" t="s">
        <v>98</v>
      </c>
      <c r="E18" s="13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4" t="str">
        <f t="shared" si="1"/>
        <v>Sin iniciar</v>
      </c>
      <c r="Q18" s="4" t="str">
        <f t="shared" si="2"/>
        <v>EN GESTIÓN</v>
      </c>
      <c r="R18" s="15">
        <f t="shared" si="3"/>
        <v>0</v>
      </c>
      <c r="S18" s="4" t="str">
        <f t="shared" si="4"/>
        <v>GRIS</v>
      </c>
      <c r="T18" s="35" t="str">
        <f t="shared" si="5"/>
        <v/>
      </c>
    </row>
    <row r="19">
      <c r="A19" s="12" t="s">
        <v>121</v>
      </c>
      <c r="E19" s="13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4" t="str">
        <f t="shared" si="1"/>
        <v>Sin iniciar</v>
      </c>
      <c r="Q19" s="4" t="str">
        <f t="shared" si="2"/>
        <v>EN GESTIÓN</v>
      </c>
      <c r="R19" s="15">
        <f t="shared" si="3"/>
        <v>0</v>
      </c>
      <c r="S19" s="4" t="str">
        <f t="shared" si="4"/>
        <v>GRIS</v>
      </c>
      <c r="T19" s="35" t="str">
        <f t="shared" si="5"/>
        <v/>
      </c>
    </row>
    <row r="20">
      <c r="A20" s="12" t="s">
        <v>122</v>
      </c>
      <c r="E20" s="13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4" t="str">
        <f t="shared" si="1"/>
        <v>Sin iniciar</v>
      </c>
      <c r="Q20" s="4" t="str">
        <f t="shared" si="2"/>
        <v>EN GESTIÓN</v>
      </c>
      <c r="R20" s="15">
        <f t="shared" si="3"/>
        <v>0</v>
      </c>
      <c r="S20" s="4" t="str">
        <f t="shared" si="4"/>
        <v>GRIS</v>
      </c>
      <c r="T20" s="35" t="str">
        <f t="shared" si="5"/>
        <v/>
      </c>
    </row>
    <row r="21" ht="15.75" customHeight="1">
      <c r="A21" s="12" t="s">
        <v>123</v>
      </c>
      <c r="E21" s="13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4" t="str">
        <f t="shared" si="1"/>
        <v>Sin iniciar</v>
      </c>
      <c r="Q21" s="4" t="str">
        <f t="shared" si="2"/>
        <v>EN GESTIÓN</v>
      </c>
      <c r="R21" s="15">
        <f t="shared" si="3"/>
        <v>0</v>
      </c>
      <c r="S21" s="4" t="str">
        <f t="shared" si="4"/>
        <v>GRIS</v>
      </c>
      <c r="T21" s="35" t="str">
        <f t="shared" si="5"/>
        <v/>
      </c>
    </row>
    <row r="22" ht="15.75" customHeight="1">
      <c r="E22" s="13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4" t="str">
        <f t="shared" si="1"/>
        <v>Sin iniciar</v>
      </c>
      <c r="Q22" s="4" t="str">
        <f t="shared" si="2"/>
        <v/>
      </c>
      <c r="R22" s="15">
        <f t="shared" si="3"/>
        <v>0</v>
      </c>
      <c r="S22" s="4" t="str">
        <f t="shared" si="4"/>
        <v/>
      </c>
      <c r="T22" s="35" t="str">
        <f t="shared" si="5"/>
        <v/>
      </c>
    </row>
    <row r="23" ht="15.75" customHeight="1">
      <c r="E23" s="13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4" t="str">
        <f t="shared" si="1"/>
        <v>Sin iniciar</v>
      </c>
      <c r="Q23" s="4" t="str">
        <f t="shared" si="2"/>
        <v/>
      </c>
      <c r="R23" s="15">
        <f t="shared" si="3"/>
        <v>0</v>
      </c>
      <c r="S23" s="4" t="str">
        <f t="shared" si="4"/>
        <v/>
      </c>
      <c r="T23" s="35" t="str">
        <f t="shared" si="5"/>
        <v/>
      </c>
    </row>
    <row r="24" ht="15.75" customHeight="1">
      <c r="E24" s="13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4" t="str">
        <f t="shared" si="1"/>
        <v>Sin iniciar</v>
      </c>
      <c r="Q24" s="4" t="str">
        <f t="shared" si="2"/>
        <v/>
      </c>
      <c r="R24" s="15">
        <f t="shared" si="3"/>
        <v>0</v>
      </c>
      <c r="S24" s="4" t="str">
        <f t="shared" si="4"/>
        <v/>
      </c>
      <c r="T24" s="35" t="str">
        <f t="shared" si="5"/>
        <v/>
      </c>
    </row>
    <row r="25" ht="15.75" customHeight="1">
      <c r="E25" s="13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4" t="str">
        <f t="shared" si="1"/>
        <v>Sin iniciar</v>
      </c>
      <c r="Q25" s="4" t="str">
        <f t="shared" si="2"/>
        <v/>
      </c>
      <c r="R25" s="15">
        <f t="shared" si="3"/>
        <v>0</v>
      </c>
      <c r="S25" s="4" t="str">
        <f t="shared" si="4"/>
        <v/>
      </c>
      <c r="T25" s="35" t="str">
        <f t="shared" si="5"/>
        <v/>
      </c>
    </row>
    <row r="26" ht="15.75" customHeight="1">
      <c r="E26" s="13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4" t="str">
        <f t="shared" si="1"/>
        <v>Sin iniciar</v>
      </c>
      <c r="Q26" s="4" t="str">
        <f t="shared" si="2"/>
        <v/>
      </c>
      <c r="R26" s="15">
        <f t="shared" si="3"/>
        <v>0</v>
      </c>
      <c r="S26" s="4" t="str">
        <f t="shared" si="4"/>
        <v/>
      </c>
      <c r="T26" s="35" t="str">
        <f t="shared" si="5"/>
        <v/>
      </c>
    </row>
    <row r="27" ht="15.75" customHeight="1">
      <c r="E27" s="13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4" t="str">
        <f t="shared" si="1"/>
        <v>Sin iniciar</v>
      </c>
      <c r="Q27" s="4" t="str">
        <f t="shared" si="2"/>
        <v/>
      </c>
      <c r="R27" s="15">
        <f t="shared" si="3"/>
        <v>0</v>
      </c>
      <c r="S27" s="4" t="str">
        <f t="shared" si="4"/>
        <v/>
      </c>
      <c r="T27" s="35" t="str">
        <f t="shared" si="5"/>
        <v/>
      </c>
    </row>
    <row r="28" ht="15.75" customHeight="1">
      <c r="E28" s="13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4" t="str">
        <f t="shared" si="1"/>
        <v>Sin iniciar</v>
      </c>
      <c r="Q28" s="4" t="str">
        <f t="shared" si="2"/>
        <v/>
      </c>
      <c r="R28" s="15">
        <f t="shared" si="3"/>
        <v>0</v>
      </c>
      <c r="S28" s="4" t="str">
        <f t="shared" si="4"/>
        <v/>
      </c>
      <c r="T28" s="35" t="str">
        <f t="shared" si="5"/>
        <v/>
      </c>
    </row>
    <row r="29" ht="15.75" customHeight="1">
      <c r="E29" s="13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4" t="str">
        <f t="shared" si="1"/>
        <v>Sin iniciar</v>
      </c>
      <c r="Q29" s="4" t="str">
        <f t="shared" si="2"/>
        <v/>
      </c>
      <c r="R29" s="15">
        <f t="shared" si="3"/>
        <v>0</v>
      </c>
      <c r="S29" s="4" t="str">
        <f t="shared" si="4"/>
        <v/>
      </c>
      <c r="T29" s="35" t="str">
        <f t="shared" si="5"/>
        <v/>
      </c>
    </row>
    <row r="30" ht="15.75" customHeight="1">
      <c r="E30" s="13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4" t="str">
        <f t="shared" si="1"/>
        <v>Sin iniciar</v>
      </c>
      <c r="Q30" s="4" t="str">
        <f t="shared" si="2"/>
        <v/>
      </c>
      <c r="R30" s="15">
        <f t="shared" si="3"/>
        <v>0</v>
      </c>
      <c r="S30" s="4" t="str">
        <f t="shared" si="4"/>
        <v/>
      </c>
      <c r="T30" s="35" t="str">
        <f t="shared" si="5"/>
        <v/>
      </c>
    </row>
    <row r="31" ht="15.75" customHeight="1">
      <c r="E31" s="13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4" t="str">
        <f t="shared" si="1"/>
        <v>Sin iniciar</v>
      </c>
      <c r="Q31" s="4" t="str">
        <f t="shared" si="2"/>
        <v/>
      </c>
      <c r="R31" s="15">
        <f t="shared" si="3"/>
        <v>0</v>
      </c>
      <c r="S31" s="4" t="str">
        <f t="shared" si="4"/>
        <v/>
      </c>
      <c r="T31" s="35" t="str">
        <f t="shared" si="5"/>
        <v/>
      </c>
    </row>
    <row r="32" ht="15.75" customHeight="1">
      <c r="E32" s="13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4" t="str">
        <f t="shared" si="1"/>
        <v>Sin iniciar</v>
      </c>
      <c r="Q32" s="4" t="str">
        <f t="shared" si="2"/>
        <v/>
      </c>
      <c r="R32" s="15">
        <f t="shared" si="3"/>
        <v>0</v>
      </c>
      <c r="S32" s="4" t="str">
        <f t="shared" si="4"/>
        <v/>
      </c>
      <c r="T32" s="35" t="str">
        <f t="shared" si="5"/>
        <v/>
      </c>
    </row>
    <row r="33" ht="15.75" customHeight="1">
      <c r="E33" s="13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4" t="str">
        <f t="shared" si="1"/>
        <v>Sin iniciar</v>
      </c>
      <c r="Q33" s="4" t="str">
        <f t="shared" si="2"/>
        <v/>
      </c>
      <c r="R33" s="15">
        <f t="shared" si="3"/>
        <v>0</v>
      </c>
      <c r="S33" s="4" t="str">
        <f t="shared" si="4"/>
        <v/>
      </c>
      <c r="T33" s="35" t="str">
        <f t="shared" si="5"/>
        <v/>
      </c>
    </row>
    <row r="34" ht="15.75" customHeight="1">
      <c r="E34" s="13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4" t="str">
        <f t="shared" si="1"/>
        <v>Sin iniciar</v>
      </c>
      <c r="Q34" s="4" t="str">
        <f t="shared" si="2"/>
        <v/>
      </c>
      <c r="R34" s="15">
        <f t="shared" si="3"/>
        <v>0</v>
      </c>
      <c r="S34" s="4" t="str">
        <f t="shared" si="4"/>
        <v/>
      </c>
      <c r="T34" s="35" t="str">
        <f t="shared" si="5"/>
        <v/>
      </c>
    </row>
    <row r="35" ht="15.75" customHeight="1">
      <c r="E35" s="13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4" t="str">
        <f t="shared" si="1"/>
        <v>Sin iniciar</v>
      </c>
      <c r="Q35" s="4" t="str">
        <f t="shared" si="2"/>
        <v/>
      </c>
      <c r="R35" s="15">
        <f t="shared" si="3"/>
        <v>0</v>
      </c>
      <c r="S35" s="4" t="str">
        <f t="shared" si="4"/>
        <v/>
      </c>
      <c r="T35" s="35" t="str">
        <f t="shared" si="5"/>
        <v/>
      </c>
    </row>
    <row r="36" ht="15.75" customHeight="1">
      <c r="E36" s="13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4" t="str">
        <f t="shared" si="1"/>
        <v>Sin iniciar</v>
      </c>
      <c r="Q36" s="4" t="str">
        <f t="shared" si="2"/>
        <v/>
      </c>
      <c r="R36" s="15">
        <f t="shared" si="3"/>
        <v>0</v>
      </c>
      <c r="S36" s="4" t="str">
        <f t="shared" si="4"/>
        <v/>
      </c>
      <c r="T36" s="35" t="str">
        <f t="shared" si="5"/>
        <v/>
      </c>
    </row>
    <row r="37" ht="15.75" customHeight="1">
      <c r="E37" s="13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4" t="str">
        <f t="shared" si="1"/>
        <v>Sin iniciar</v>
      </c>
      <c r="Q37" s="4" t="str">
        <f t="shared" si="2"/>
        <v/>
      </c>
      <c r="R37" s="15">
        <f t="shared" si="3"/>
        <v>0</v>
      </c>
      <c r="S37" s="4" t="str">
        <f t="shared" si="4"/>
        <v/>
      </c>
      <c r="T37" s="35" t="str">
        <f t="shared" si="5"/>
        <v/>
      </c>
    </row>
    <row r="38" ht="15.75" customHeight="1">
      <c r="E38" s="13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4" t="str">
        <f t="shared" si="1"/>
        <v>Sin iniciar</v>
      </c>
      <c r="Q38" s="4" t="str">
        <f t="shared" si="2"/>
        <v/>
      </c>
      <c r="R38" s="15">
        <f t="shared" si="3"/>
        <v>0</v>
      </c>
      <c r="S38" s="4" t="str">
        <f t="shared" si="4"/>
        <v/>
      </c>
      <c r="T38" s="35" t="str">
        <f t="shared" si="5"/>
        <v/>
      </c>
    </row>
    <row r="39" ht="15.75" customHeight="1">
      <c r="E39" s="13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4" t="str">
        <f t="shared" si="1"/>
        <v>Sin iniciar</v>
      </c>
      <c r="Q39" s="4" t="str">
        <f t="shared" si="2"/>
        <v/>
      </c>
      <c r="R39" s="15">
        <f t="shared" si="3"/>
        <v>0</v>
      </c>
      <c r="S39" s="4" t="str">
        <f t="shared" si="4"/>
        <v/>
      </c>
      <c r="T39" s="35" t="str">
        <f t="shared" si="5"/>
        <v/>
      </c>
    </row>
    <row r="40" ht="15.75" customHeight="1">
      <c r="E40" s="13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4" t="str">
        <f t="shared" si="1"/>
        <v>Sin iniciar</v>
      </c>
      <c r="Q40" s="4" t="str">
        <f t="shared" si="2"/>
        <v/>
      </c>
      <c r="R40" s="15">
        <f t="shared" si="3"/>
        <v>0</v>
      </c>
      <c r="S40" s="4" t="str">
        <f t="shared" si="4"/>
        <v/>
      </c>
      <c r="T40" s="35" t="str">
        <f t="shared" si="5"/>
        <v/>
      </c>
    </row>
    <row r="41" ht="15.75" customHeight="1"/>
    <row r="42" ht="15.75" customHeight="1">
      <c r="A42" s="4" t="s">
        <v>91</v>
      </c>
      <c r="B42" s="4" t="s">
        <v>92</v>
      </c>
    </row>
    <row r="43" ht="15.75" customHeight="1">
      <c r="A43" s="4" t="s">
        <v>93</v>
      </c>
      <c r="B43" s="4" t="s">
        <v>94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4:B4"/>
    <mergeCell ref="A5:B6"/>
    <mergeCell ref="D5:E6"/>
    <mergeCell ref="G5:H6"/>
    <mergeCell ref="J5:K6"/>
    <mergeCell ref="M5:N6"/>
    <mergeCell ref="P5:Q6"/>
    <mergeCell ref="S5:T6"/>
    <mergeCell ref="A1:U1"/>
    <mergeCell ref="D4:E4"/>
    <mergeCell ref="G4:H4"/>
    <mergeCell ref="J4:K4"/>
    <mergeCell ref="M4:N4"/>
    <mergeCell ref="P4:Q4"/>
    <mergeCell ref="S4:T4"/>
  </mergeCells>
  <conditionalFormatting sqref="B8">
    <cfRule type="expression" dxfId="0" priority="1">
      <formula>B8="VERDE"</formula>
    </cfRule>
  </conditionalFormatting>
  <conditionalFormatting sqref="B8">
    <cfRule type="expression" dxfId="1" priority="2">
      <formula>B8="AMARILLO"</formula>
    </cfRule>
  </conditionalFormatting>
  <conditionalFormatting sqref="B8">
    <cfRule type="expression" dxfId="2" priority="3">
      <formula>B8="ROJO"</formula>
    </cfRule>
  </conditionalFormatting>
  <conditionalFormatting sqref="H11:H40 I11:J16 K11:K15 L11:L13">
    <cfRule type="expression" dxfId="0" priority="4">
      <formula>H11&lt;&gt;""</formula>
    </cfRule>
  </conditionalFormatting>
  <conditionalFormatting sqref="H11:H40 I11:J16 K11:K15 L11:L13">
    <cfRule type="expression" dxfId="1" priority="5">
      <formula>AND($A11&lt;&gt;"",$H11="")</formula>
    </cfRule>
  </conditionalFormatting>
  <conditionalFormatting sqref="H11:H40 I11:J16 K11:K15 L11:L13">
    <cfRule type="expression" dxfId="3" priority="6">
      <formula>AND($A11&lt;&gt;"",H11="")</formula>
    </cfRule>
  </conditionalFormatting>
  <conditionalFormatting sqref="I11:I40">
    <cfRule type="expression" dxfId="0" priority="7">
      <formula>I11&lt;&gt;""</formula>
    </cfRule>
  </conditionalFormatting>
  <conditionalFormatting sqref="I11:I40">
    <cfRule type="expression" dxfId="1" priority="8">
      <formula>AND($H11&lt;&gt;"",$I11="")</formula>
    </cfRule>
  </conditionalFormatting>
  <conditionalFormatting sqref="I11:I40">
    <cfRule type="expression" dxfId="3" priority="9">
      <formula>AND($A11&lt;&gt;"",I11="")</formula>
    </cfRule>
  </conditionalFormatting>
  <conditionalFormatting sqref="J11:J40">
    <cfRule type="expression" dxfId="0" priority="10">
      <formula>J11&lt;&gt;""</formula>
    </cfRule>
  </conditionalFormatting>
  <conditionalFormatting sqref="J11:J40">
    <cfRule type="expression" dxfId="1" priority="11">
      <formula>AND($I11&lt;&gt;"",$J11="")</formula>
    </cfRule>
  </conditionalFormatting>
  <conditionalFormatting sqref="J11:J40">
    <cfRule type="expression" dxfId="3" priority="12">
      <formula>AND($A11&lt;&gt;"",J11="")</formula>
    </cfRule>
  </conditionalFormatting>
  <conditionalFormatting sqref="K11:K40">
    <cfRule type="expression" dxfId="0" priority="13">
      <formula>K11&lt;&gt;""</formula>
    </cfRule>
  </conditionalFormatting>
  <conditionalFormatting sqref="K11:K40">
    <cfRule type="expression" dxfId="1" priority="14">
      <formula>AND($J11&lt;&gt;"",$K11="")</formula>
    </cfRule>
  </conditionalFormatting>
  <conditionalFormatting sqref="K11:K40">
    <cfRule type="expression" dxfId="3" priority="15">
      <formula>AND($A11&lt;&gt;"",K11="")</formula>
    </cfRule>
  </conditionalFormatting>
  <conditionalFormatting sqref="L11:L40">
    <cfRule type="expression" dxfId="0" priority="16">
      <formula>L11&lt;&gt;""</formula>
    </cfRule>
  </conditionalFormatting>
  <conditionalFormatting sqref="L11:L40">
    <cfRule type="expression" dxfId="1" priority="17">
      <formula>AND($K11&lt;&gt;"",$L11="")</formula>
    </cfRule>
  </conditionalFormatting>
  <conditionalFormatting sqref="L11:L40">
    <cfRule type="expression" dxfId="3" priority="18">
      <formula>AND($A11&lt;&gt;"",L11="")</formula>
    </cfRule>
  </conditionalFormatting>
  <conditionalFormatting sqref="M11:M40 N11:O11">
    <cfRule type="expression" dxfId="0" priority="19">
      <formula>M11&lt;&gt;""</formula>
    </cfRule>
  </conditionalFormatting>
  <conditionalFormatting sqref="M11:M40 N11:O11">
    <cfRule type="expression" dxfId="1" priority="20">
      <formula>AND($L11&lt;&gt;"",$M11="")</formula>
    </cfRule>
  </conditionalFormatting>
  <conditionalFormatting sqref="M11:M40 N11:O11">
    <cfRule type="expression" dxfId="3" priority="21">
      <formula>AND($A11&lt;&gt;"",M11="")</formula>
    </cfRule>
  </conditionalFormatting>
  <conditionalFormatting sqref="N11:N40 O11">
    <cfRule type="expression" dxfId="0" priority="22">
      <formula>N11&lt;&gt;""</formula>
    </cfRule>
  </conditionalFormatting>
  <conditionalFormatting sqref="N11:N40 O11">
    <cfRule type="expression" dxfId="1" priority="23">
      <formula>AND($M11&lt;&gt;"",$N11="")</formula>
    </cfRule>
  </conditionalFormatting>
  <conditionalFormatting sqref="N11:N40 O11">
    <cfRule type="expression" dxfId="3" priority="24">
      <formula>AND($A11&lt;&gt;"",N11="")</formula>
    </cfRule>
  </conditionalFormatting>
  <conditionalFormatting sqref="O11:O40">
    <cfRule type="expression" dxfId="0" priority="25">
      <formula>O11&lt;&gt;""</formula>
    </cfRule>
  </conditionalFormatting>
  <conditionalFormatting sqref="O11:O40">
    <cfRule type="expression" dxfId="1" priority="26">
      <formula>AND($N11&lt;&gt;"",$O11="")</formula>
    </cfRule>
  </conditionalFormatting>
  <conditionalFormatting sqref="O11:O40">
    <cfRule type="expression" dxfId="3" priority="27">
      <formula>AND($A11&lt;&gt;"",O11="")</formula>
    </cfRule>
  </conditionalFormatting>
  <conditionalFormatting sqref="T11:T40">
    <cfRule type="expression" dxfId="0" priority="28">
      <formula>T11="VERDE"</formula>
    </cfRule>
  </conditionalFormatting>
  <conditionalFormatting sqref="T11:T40">
    <cfRule type="expression" dxfId="1" priority="29">
      <formula>T11="AMARILLO"</formula>
    </cfRule>
  </conditionalFormatting>
  <conditionalFormatting sqref="T11:T40">
    <cfRule type="expression" dxfId="2" priority="30">
      <formula>T11="ROJO"</formula>
    </cfRule>
  </conditionalFormatting>
  <conditionalFormatting sqref="T11:T40">
    <cfRule type="expression" dxfId="3" priority="31">
      <formula>T11="GRIS"</formula>
    </cfRule>
  </conditionalFormatting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12.0"/>
    <col customWidth="1" min="2" max="2" width="18.0"/>
    <col customWidth="1" min="3" max="3" width="13.0"/>
    <col customWidth="1" min="4" max="5" width="14.0"/>
    <col customWidth="1" min="6" max="7" width="12.0"/>
    <col customWidth="1" min="8" max="9" width="11.0"/>
    <col customWidth="1" min="10" max="10" width="13.0"/>
    <col customWidth="1" min="11" max="11" width="11.0"/>
    <col customWidth="1" min="12" max="12" width="13.0"/>
    <col customWidth="1" min="13" max="13" width="16.0"/>
    <col customWidth="1" min="14" max="14" width="14.0"/>
    <col customWidth="1" min="15" max="15" width="13.0"/>
    <col customWidth="1" min="16" max="17" width="16.0"/>
    <col customWidth="1" min="18" max="19" width="10.0"/>
    <col customWidth="1" min="20" max="20" width="11.0"/>
    <col customWidth="1" min="21" max="21" width="24.0"/>
    <col customWidth="1" min="22" max="26" width="8.71"/>
  </cols>
  <sheetData>
    <row r="1">
      <c r="A1" s="1" t="s">
        <v>124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</row>
    <row r="3">
      <c r="A3" s="4" t="s">
        <v>9</v>
      </c>
      <c r="B3" s="20" t="s">
        <v>21</v>
      </c>
      <c r="D3" s="4" t="s">
        <v>41</v>
      </c>
      <c r="E3" s="20"/>
      <c r="G3" s="4" t="s">
        <v>42</v>
      </c>
      <c r="H3" s="20" t="s">
        <v>43</v>
      </c>
      <c r="J3" s="4" t="s">
        <v>44</v>
      </c>
      <c r="K3" s="20"/>
    </row>
    <row r="4">
      <c r="A4" s="6" t="s">
        <v>10</v>
      </c>
      <c r="B4" s="3"/>
      <c r="D4" s="6" t="s">
        <v>4</v>
      </c>
      <c r="E4" s="3"/>
      <c r="G4" s="6" t="s">
        <v>11</v>
      </c>
      <c r="H4" s="3"/>
      <c r="J4" s="6" t="s">
        <v>12</v>
      </c>
      <c r="K4" s="3"/>
      <c r="M4" s="6" t="s">
        <v>13</v>
      </c>
      <c r="N4" s="3"/>
      <c r="P4" s="6" t="s">
        <v>14</v>
      </c>
      <c r="Q4" s="3"/>
      <c r="S4" s="6" t="s">
        <v>15</v>
      </c>
      <c r="T4" s="3"/>
    </row>
    <row r="5">
      <c r="A5" s="24">
        <f>COUNTIF(A11:A40,"&lt;&gt;")</f>
        <v>30</v>
      </c>
      <c r="D5" s="25">
        <f>SUM(E11:E40)</f>
        <v>0</v>
      </c>
      <c r="G5" s="24">
        <f>COUNTIF(R11:R40,"COMPLETA")</f>
        <v>0</v>
      </c>
      <c r="J5" s="24">
        <f>COUNTIFS(R11:R40,"&lt;&gt;COMPLETA",A11:A40,"&lt;&gt;")</f>
        <v>30</v>
      </c>
      <c r="M5" s="24">
        <f>COUNTIF(T11:T40,"ROJO")</f>
        <v>0</v>
      </c>
      <c r="P5" s="26">
        <f>IFERROR(AVERAGE(S11:S40),0)</f>
        <v>0</v>
      </c>
      <c r="S5" s="27">
        <f>IFERROR(MINIFS(G11:G40,R11:R40,"&lt;&gt;COMPLETA",G11:G40,"&gt;0"),0)</f>
        <v>0</v>
      </c>
    </row>
    <row r="8">
      <c r="A8" s="4" t="s">
        <v>46</v>
      </c>
      <c r="B8" s="4" t="str">
        <f>IF(J5&gt;0,"ROJO",IF(H5&gt;0,"AMARILLO","VERDE"))</f>
        <v>ROJO</v>
      </c>
      <c r="D8" s="4" t="s">
        <v>47</v>
      </c>
      <c r="E8" s="28" t="str">
        <f>IF(B8="ROJO","Escalar órdenes vencidas",IF(B8="AMARILLO","Monitorear órdenes activas","Operación estable"))</f>
        <v>Escalar órdenes vencidas</v>
      </c>
    </row>
    <row r="10">
      <c r="A10" s="30" t="s">
        <v>32</v>
      </c>
      <c r="B10" s="30" t="s">
        <v>48</v>
      </c>
      <c r="C10" s="30" t="s">
        <v>49</v>
      </c>
      <c r="D10" s="30" t="s">
        <v>44</v>
      </c>
      <c r="E10" s="30" t="s">
        <v>33</v>
      </c>
      <c r="F10" s="30" t="s">
        <v>37</v>
      </c>
      <c r="G10" s="30" t="s">
        <v>38</v>
      </c>
      <c r="H10" s="30" t="s">
        <v>51</v>
      </c>
      <c r="I10" s="30" t="s">
        <v>52</v>
      </c>
      <c r="J10" s="30" t="s">
        <v>53</v>
      </c>
      <c r="K10" s="30" t="s">
        <v>34</v>
      </c>
      <c r="L10" s="30" t="s">
        <v>54</v>
      </c>
      <c r="M10" s="30" t="s">
        <v>55</v>
      </c>
      <c r="N10" s="30" t="s">
        <v>56</v>
      </c>
      <c r="O10" s="30" t="s">
        <v>57</v>
      </c>
      <c r="P10" s="30" t="s">
        <v>58</v>
      </c>
      <c r="Q10" s="30" t="s">
        <v>59</v>
      </c>
      <c r="R10" s="30" t="s">
        <v>60</v>
      </c>
      <c r="S10" s="30" t="s">
        <v>61</v>
      </c>
      <c r="T10" s="30" t="s">
        <v>62</v>
      </c>
      <c r="U10" s="30" t="s">
        <v>39</v>
      </c>
    </row>
    <row r="11">
      <c r="A11" s="4" t="s">
        <v>125</v>
      </c>
      <c r="E11" s="13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4" t="str">
        <f t="shared" ref="P11:P40" si="1">IF(O11&lt;&gt;"","Llega bodega",IF(N11&lt;&gt;"","Llega puerto MX",IF(M11&lt;&gt;"","Sale puerto origen",IF(L11&lt;&gt;"","Producción OK",IF(K11&lt;&gt;"","Anticipo",IF(J11&lt;&gt;"","Info empaque",IF(I11&lt;&gt;"","Aprobar",IF(H11&lt;&gt;"","Cotizar","Sin iniciar"))))))))</f>
        <v>Sin iniciar</v>
      </c>
      <c r="Q11" s="4" t="str">
        <f t="shared" ref="Q11:Q40" si="2">IF(A11="","",IF(O11&lt;&gt;"","COMPLETA",IF(M11&lt;&gt;"","EN TRÁNSITO",IF(L11&lt;&gt;"","EN PRODUCCIÓN",IF(K11&lt;&gt;"","PAGADA / EN ESPERA","EN GESTIÓN")))))</f>
        <v>EN GESTIÓN</v>
      </c>
      <c r="R11" s="15">
        <f t="shared" ref="R11:R40" si="3">COUNT(H11:O11)/8</f>
        <v>0</v>
      </c>
      <c r="S11" s="4" t="str">
        <f t="shared" ref="S11:S40" si="4">IF(A11="","",IF(O11&lt;&gt;"","VERDE",IF(AND(G11&lt;&gt;"",TODAY()&gt;G11),"ROJO",IF(COUNT(H11:O11)=0,"GRIS","AMARILLO"))))</f>
        <v>GRIS</v>
      </c>
      <c r="T11" s="35" t="str">
        <f t="shared" ref="T11:T40" si="5">IF(COUNT(H11:O11)=0,"",TODAY()-MAX(H11:O11))</f>
        <v/>
      </c>
    </row>
    <row r="12">
      <c r="A12" s="4" t="s">
        <v>126</v>
      </c>
      <c r="E12" s="13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4" t="str">
        <f t="shared" si="1"/>
        <v>Sin iniciar</v>
      </c>
      <c r="Q12" s="4" t="str">
        <f t="shared" si="2"/>
        <v>EN GESTIÓN</v>
      </c>
      <c r="R12" s="15">
        <f t="shared" si="3"/>
        <v>0</v>
      </c>
      <c r="S12" s="4" t="str">
        <f t="shared" si="4"/>
        <v>GRIS</v>
      </c>
      <c r="T12" s="35" t="str">
        <f t="shared" si="5"/>
        <v/>
      </c>
    </row>
    <row r="13">
      <c r="A13" s="4" t="s">
        <v>127</v>
      </c>
      <c r="E13" s="13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4" t="str">
        <f t="shared" si="1"/>
        <v>Sin iniciar</v>
      </c>
      <c r="Q13" s="4" t="str">
        <f t="shared" si="2"/>
        <v>EN GESTIÓN</v>
      </c>
      <c r="R13" s="15">
        <f t="shared" si="3"/>
        <v>0</v>
      </c>
      <c r="S13" s="4" t="str">
        <f t="shared" si="4"/>
        <v>GRIS</v>
      </c>
      <c r="T13" s="35" t="str">
        <f t="shared" si="5"/>
        <v/>
      </c>
    </row>
    <row r="14">
      <c r="A14" s="4" t="s">
        <v>128</v>
      </c>
      <c r="E14" s="13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4" t="str">
        <f t="shared" si="1"/>
        <v>Sin iniciar</v>
      </c>
      <c r="Q14" s="4" t="str">
        <f t="shared" si="2"/>
        <v>EN GESTIÓN</v>
      </c>
      <c r="R14" s="15">
        <f t="shared" si="3"/>
        <v>0</v>
      </c>
      <c r="S14" s="4" t="str">
        <f t="shared" si="4"/>
        <v>GRIS</v>
      </c>
      <c r="T14" s="35" t="str">
        <f t="shared" si="5"/>
        <v/>
      </c>
    </row>
    <row r="15">
      <c r="A15" s="4" t="s">
        <v>129</v>
      </c>
      <c r="E15" s="13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4" t="str">
        <f t="shared" si="1"/>
        <v>Sin iniciar</v>
      </c>
      <c r="Q15" s="4" t="str">
        <f t="shared" si="2"/>
        <v>EN GESTIÓN</v>
      </c>
      <c r="R15" s="15">
        <f t="shared" si="3"/>
        <v>0</v>
      </c>
      <c r="S15" s="4" t="str">
        <f t="shared" si="4"/>
        <v>GRIS</v>
      </c>
      <c r="T15" s="35" t="str">
        <f t="shared" si="5"/>
        <v/>
      </c>
    </row>
    <row r="16">
      <c r="A16" s="4" t="s">
        <v>130</v>
      </c>
      <c r="E16" s="13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4" t="str">
        <f t="shared" si="1"/>
        <v>Sin iniciar</v>
      </c>
      <c r="Q16" s="4" t="str">
        <f t="shared" si="2"/>
        <v>EN GESTIÓN</v>
      </c>
      <c r="R16" s="15">
        <f t="shared" si="3"/>
        <v>0</v>
      </c>
      <c r="S16" s="4" t="str">
        <f t="shared" si="4"/>
        <v>GRIS</v>
      </c>
      <c r="T16" s="35" t="str">
        <f t="shared" si="5"/>
        <v/>
      </c>
    </row>
    <row r="17">
      <c r="A17" s="4" t="s">
        <v>131</v>
      </c>
      <c r="E17" s="13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4" t="str">
        <f t="shared" si="1"/>
        <v>Sin iniciar</v>
      </c>
      <c r="Q17" s="4" t="str">
        <f t="shared" si="2"/>
        <v>EN GESTIÓN</v>
      </c>
      <c r="R17" s="15">
        <f t="shared" si="3"/>
        <v>0</v>
      </c>
      <c r="S17" s="4" t="str">
        <f t="shared" si="4"/>
        <v>GRIS</v>
      </c>
      <c r="T17" s="35" t="str">
        <f t="shared" si="5"/>
        <v/>
      </c>
    </row>
    <row r="18">
      <c r="A18" s="4" t="s">
        <v>132</v>
      </c>
      <c r="E18" s="13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4" t="str">
        <f t="shared" si="1"/>
        <v>Sin iniciar</v>
      </c>
      <c r="Q18" s="4" t="str">
        <f t="shared" si="2"/>
        <v>EN GESTIÓN</v>
      </c>
      <c r="R18" s="15">
        <f t="shared" si="3"/>
        <v>0</v>
      </c>
      <c r="S18" s="4" t="str">
        <f t="shared" si="4"/>
        <v>GRIS</v>
      </c>
      <c r="T18" s="35" t="str">
        <f t="shared" si="5"/>
        <v/>
      </c>
    </row>
    <row r="19">
      <c r="A19" s="4" t="s">
        <v>133</v>
      </c>
      <c r="E19" s="13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4" t="str">
        <f t="shared" si="1"/>
        <v>Sin iniciar</v>
      </c>
      <c r="Q19" s="4" t="str">
        <f t="shared" si="2"/>
        <v>EN GESTIÓN</v>
      </c>
      <c r="R19" s="15">
        <f t="shared" si="3"/>
        <v>0</v>
      </c>
      <c r="S19" s="4" t="str">
        <f t="shared" si="4"/>
        <v>GRIS</v>
      </c>
      <c r="T19" s="35" t="str">
        <f t="shared" si="5"/>
        <v/>
      </c>
    </row>
    <row r="20">
      <c r="A20" s="4" t="s">
        <v>134</v>
      </c>
      <c r="E20" s="13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4" t="str">
        <f t="shared" si="1"/>
        <v>Sin iniciar</v>
      </c>
      <c r="Q20" s="4" t="str">
        <f t="shared" si="2"/>
        <v>EN GESTIÓN</v>
      </c>
      <c r="R20" s="15">
        <f t="shared" si="3"/>
        <v>0</v>
      </c>
      <c r="S20" s="4" t="str">
        <f t="shared" si="4"/>
        <v>GRIS</v>
      </c>
      <c r="T20" s="35" t="str">
        <f t="shared" si="5"/>
        <v/>
      </c>
    </row>
    <row r="21" ht="15.75" customHeight="1">
      <c r="A21" s="4" t="s">
        <v>135</v>
      </c>
      <c r="E21" s="13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4" t="str">
        <f t="shared" si="1"/>
        <v>Sin iniciar</v>
      </c>
      <c r="Q21" s="4" t="str">
        <f t="shared" si="2"/>
        <v>EN GESTIÓN</v>
      </c>
      <c r="R21" s="15">
        <f t="shared" si="3"/>
        <v>0</v>
      </c>
      <c r="S21" s="4" t="str">
        <f t="shared" si="4"/>
        <v>GRIS</v>
      </c>
      <c r="T21" s="35" t="str">
        <f t="shared" si="5"/>
        <v/>
      </c>
    </row>
    <row r="22" ht="15.75" customHeight="1">
      <c r="A22" s="4" t="s">
        <v>136</v>
      </c>
      <c r="E22" s="13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4" t="str">
        <f t="shared" si="1"/>
        <v>Sin iniciar</v>
      </c>
      <c r="Q22" s="4" t="str">
        <f t="shared" si="2"/>
        <v>EN GESTIÓN</v>
      </c>
      <c r="R22" s="15">
        <f t="shared" si="3"/>
        <v>0</v>
      </c>
      <c r="S22" s="4" t="str">
        <f t="shared" si="4"/>
        <v>GRIS</v>
      </c>
      <c r="T22" s="35" t="str">
        <f t="shared" si="5"/>
        <v/>
      </c>
    </row>
    <row r="23" ht="15.75" customHeight="1">
      <c r="A23" s="4" t="s">
        <v>137</v>
      </c>
      <c r="E23" s="13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4" t="str">
        <f t="shared" si="1"/>
        <v>Sin iniciar</v>
      </c>
      <c r="Q23" s="4" t="str">
        <f t="shared" si="2"/>
        <v>EN GESTIÓN</v>
      </c>
      <c r="R23" s="15">
        <f t="shared" si="3"/>
        <v>0</v>
      </c>
      <c r="S23" s="4" t="str">
        <f t="shared" si="4"/>
        <v>GRIS</v>
      </c>
      <c r="T23" s="35" t="str">
        <f t="shared" si="5"/>
        <v/>
      </c>
    </row>
    <row r="24" ht="15.75" customHeight="1">
      <c r="A24" s="4" t="s">
        <v>138</v>
      </c>
      <c r="E24" s="13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4" t="str">
        <f t="shared" si="1"/>
        <v>Sin iniciar</v>
      </c>
      <c r="Q24" s="4" t="str">
        <f t="shared" si="2"/>
        <v>EN GESTIÓN</v>
      </c>
      <c r="R24" s="15">
        <f t="shared" si="3"/>
        <v>0</v>
      </c>
      <c r="S24" s="4" t="str">
        <f t="shared" si="4"/>
        <v>GRIS</v>
      </c>
      <c r="T24" s="35" t="str">
        <f t="shared" si="5"/>
        <v/>
      </c>
    </row>
    <row r="25" ht="15.75" customHeight="1">
      <c r="A25" s="4" t="s">
        <v>139</v>
      </c>
      <c r="E25" s="13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4" t="str">
        <f t="shared" si="1"/>
        <v>Sin iniciar</v>
      </c>
      <c r="Q25" s="4" t="str">
        <f t="shared" si="2"/>
        <v>EN GESTIÓN</v>
      </c>
      <c r="R25" s="15">
        <f t="shared" si="3"/>
        <v>0</v>
      </c>
      <c r="S25" s="4" t="str">
        <f t="shared" si="4"/>
        <v>GRIS</v>
      </c>
      <c r="T25" s="35" t="str">
        <f t="shared" si="5"/>
        <v/>
      </c>
    </row>
    <row r="26" ht="15.75" customHeight="1">
      <c r="A26" s="4" t="s">
        <v>140</v>
      </c>
      <c r="E26" s="13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4" t="str">
        <f t="shared" si="1"/>
        <v>Sin iniciar</v>
      </c>
      <c r="Q26" s="4" t="str">
        <f t="shared" si="2"/>
        <v>EN GESTIÓN</v>
      </c>
      <c r="R26" s="15">
        <f t="shared" si="3"/>
        <v>0</v>
      </c>
      <c r="S26" s="4" t="str">
        <f t="shared" si="4"/>
        <v>GRIS</v>
      </c>
      <c r="T26" s="35" t="str">
        <f t="shared" si="5"/>
        <v/>
      </c>
    </row>
    <row r="27" ht="15.75" customHeight="1">
      <c r="A27" s="4" t="s">
        <v>141</v>
      </c>
      <c r="E27" s="13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4" t="str">
        <f t="shared" si="1"/>
        <v>Sin iniciar</v>
      </c>
      <c r="Q27" s="4" t="str">
        <f t="shared" si="2"/>
        <v>EN GESTIÓN</v>
      </c>
      <c r="R27" s="15">
        <f t="shared" si="3"/>
        <v>0</v>
      </c>
      <c r="S27" s="4" t="str">
        <f t="shared" si="4"/>
        <v>GRIS</v>
      </c>
      <c r="T27" s="35" t="str">
        <f t="shared" si="5"/>
        <v/>
      </c>
    </row>
    <row r="28" ht="15.75" customHeight="1">
      <c r="A28" s="4" t="s">
        <v>142</v>
      </c>
      <c r="E28" s="13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4" t="str">
        <f t="shared" si="1"/>
        <v>Sin iniciar</v>
      </c>
      <c r="Q28" s="4" t="str">
        <f t="shared" si="2"/>
        <v>EN GESTIÓN</v>
      </c>
      <c r="R28" s="15">
        <f t="shared" si="3"/>
        <v>0</v>
      </c>
      <c r="S28" s="4" t="str">
        <f t="shared" si="4"/>
        <v>GRIS</v>
      </c>
      <c r="T28" s="35" t="str">
        <f t="shared" si="5"/>
        <v/>
      </c>
    </row>
    <row r="29" ht="15.75" customHeight="1">
      <c r="A29" s="4" t="s">
        <v>143</v>
      </c>
      <c r="E29" s="13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4" t="str">
        <f t="shared" si="1"/>
        <v>Sin iniciar</v>
      </c>
      <c r="Q29" s="4" t="str">
        <f t="shared" si="2"/>
        <v>EN GESTIÓN</v>
      </c>
      <c r="R29" s="15">
        <f t="shared" si="3"/>
        <v>0</v>
      </c>
      <c r="S29" s="4" t="str">
        <f t="shared" si="4"/>
        <v>GRIS</v>
      </c>
      <c r="T29" s="35" t="str">
        <f t="shared" si="5"/>
        <v/>
      </c>
    </row>
    <row r="30" ht="15.75" customHeight="1">
      <c r="A30" s="4" t="s">
        <v>144</v>
      </c>
      <c r="E30" s="13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4" t="str">
        <f t="shared" si="1"/>
        <v>Sin iniciar</v>
      </c>
      <c r="Q30" s="4" t="str">
        <f t="shared" si="2"/>
        <v>EN GESTIÓN</v>
      </c>
      <c r="R30" s="15">
        <f t="shared" si="3"/>
        <v>0</v>
      </c>
      <c r="S30" s="4" t="str">
        <f t="shared" si="4"/>
        <v>GRIS</v>
      </c>
      <c r="T30" s="35" t="str">
        <f t="shared" si="5"/>
        <v/>
      </c>
    </row>
    <row r="31" ht="15.75" customHeight="1">
      <c r="A31" s="4" t="s">
        <v>145</v>
      </c>
      <c r="E31" s="13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4" t="str">
        <f t="shared" si="1"/>
        <v>Sin iniciar</v>
      </c>
      <c r="Q31" s="4" t="str">
        <f t="shared" si="2"/>
        <v>EN GESTIÓN</v>
      </c>
      <c r="R31" s="15">
        <f t="shared" si="3"/>
        <v>0</v>
      </c>
      <c r="S31" s="4" t="str">
        <f t="shared" si="4"/>
        <v>GRIS</v>
      </c>
      <c r="T31" s="35" t="str">
        <f t="shared" si="5"/>
        <v/>
      </c>
    </row>
    <row r="32" ht="15.75" customHeight="1">
      <c r="A32" s="4" t="s">
        <v>146</v>
      </c>
      <c r="E32" s="13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4" t="str">
        <f t="shared" si="1"/>
        <v>Sin iniciar</v>
      </c>
      <c r="Q32" s="4" t="str">
        <f t="shared" si="2"/>
        <v>EN GESTIÓN</v>
      </c>
      <c r="R32" s="15">
        <f t="shared" si="3"/>
        <v>0</v>
      </c>
      <c r="S32" s="4" t="str">
        <f t="shared" si="4"/>
        <v>GRIS</v>
      </c>
      <c r="T32" s="35" t="str">
        <f t="shared" si="5"/>
        <v/>
      </c>
    </row>
    <row r="33" ht="15.75" customHeight="1">
      <c r="A33" s="4" t="s">
        <v>147</v>
      </c>
      <c r="E33" s="13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4" t="str">
        <f t="shared" si="1"/>
        <v>Sin iniciar</v>
      </c>
      <c r="Q33" s="4" t="str">
        <f t="shared" si="2"/>
        <v>EN GESTIÓN</v>
      </c>
      <c r="R33" s="15">
        <f t="shared" si="3"/>
        <v>0</v>
      </c>
      <c r="S33" s="4" t="str">
        <f t="shared" si="4"/>
        <v>GRIS</v>
      </c>
      <c r="T33" s="35" t="str">
        <f t="shared" si="5"/>
        <v/>
      </c>
    </row>
    <row r="34" ht="15.75" customHeight="1">
      <c r="A34" s="4" t="s">
        <v>148</v>
      </c>
      <c r="E34" s="13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4" t="str">
        <f t="shared" si="1"/>
        <v>Sin iniciar</v>
      </c>
      <c r="Q34" s="4" t="str">
        <f t="shared" si="2"/>
        <v>EN GESTIÓN</v>
      </c>
      <c r="R34" s="15">
        <f t="shared" si="3"/>
        <v>0</v>
      </c>
      <c r="S34" s="4" t="str">
        <f t="shared" si="4"/>
        <v>GRIS</v>
      </c>
      <c r="T34" s="35" t="str">
        <f t="shared" si="5"/>
        <v/>
      </c>
    </row>
    <row r="35" ht="15.75" customHeight="1">
      <c r="A35" s="4" t="s">
        <v>149</v>
      </c>
      <c r="E35" s="13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4" t="str">
        <f t="shared" si="1"/>
        <v>Sin iniciar</v>
      </c>
      <c r="Q35" s="4" t="str">
        <f t="shared" si="2"/>
        <v>EN GESTIÓN</v>
      </c>
      <c r="R35" s="15">
        <f t="shared" si="3"/>
        <v>0</v>
      </c>
      <c r="S35" s="4" t="str">
        <f t="shared" si="4"/>
        <v>GRIS</v>
      </c>
      <c r="T35" s="35" t="str">
        <f t="shared" si="5"/>
        <v/>
      </c>
    </row>
    <row r="36" ht="15.75" customHeight="1">
      <c r="A36" s="4" t="s">
        <v>150</v>
      </c>
      <c r="E36" s="13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4" t="str">
        <f t="shared" si="1"/>
        <v>Sin iniciar</v>
      </c>
      <c r="Q36" s="4" t="str">
        <f t="shared" si="2"/>
        <v>EN GESTIÓN</v>
      </c>
      <c r="R36" s="15">
        <f t="shared" si="3"/>
        <v>0</v>
      </c>
      <c r="S36" s="4" t="str">
        <f t="shared" si="4"/>
        <v>GRIS</v>
      </c>
      <c r="T36" s="35" t="str">
        <f t="shared" si="5"/>
        <v/>
      </c>
    </row>
    <row r="37" ht="15.75" customHeight="1">
      <c r="A37" s="4" t="s">
        <v>151</v>
      </c>
      <c r="E37" s="13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4" t="str">
        <f t="shared" si="1"/>
        <v>Sin iniciar</v>
      </c>
      <c r="Q37" s="4" t="str">
        <f t="shared" si="2"/>
        <v>EN GESTIÓN</v>
      </c>
      <c r="R37" s="15">
        <f t="shared" si="3"/>
        <v>0</v>
      </c>
      <c r="S37" s="4" t="str">
        <f t="shared" si="4"/>
        <v>GRIS</v>
      </c>
      <c r="T37" s="35" t="str">
        <f t="shared" si="5"/>
        <v/>
      </c>
    </row>
    <row r="38" ht="15.75" customHeight="1">
      <c r="A38" s="4" t="s">
        <v>152</v>
      </c>
      <c r="E38" s="13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4" t="str">
        <f t="shared" si="1"/>
        <v>Sin iniciar</v>
      </c>
      <c r="Q38" s="4" t="str">
        <f t="shared" si="2"/>
        <v>EN GESTIÓN</v>
      </c>
      <c r="R38" s="15">
        <f t="shared" si="3"/>
        <v>0</v>
      </c>
      <c r="S38" s="4" t="str">
        <f t="shared" si="4"/>
        <v>GRIS</v>
      </c>
      <c r="T38" s="35" t="str">
        <f t="shared" si="5"/>
        <v/>
      </c>
    </row>
    <row r="39" ht="15.75" customHeight="1">
      <c r="A39" s="4" t="s">
        <v>153</v>
      </c>
      <c r="E39" s="13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4" t="str">
        <f t="shared" si="1"/>
        <v>Sin iniciar</v>
      </c>
      <c r="Q39" s="4" t="str">
        <f t="shared" si="2"/>
        <v>EN GESTIÓN</v>
      </c>
      <c r="R39" s="15">
        <f t="shared" si="3"/>
        <v>0</v>
      </c>
      <c r="S39" s="4" t="str">
        <f t="shared" si="4"/>
        <v>GRIS</v>
      </c>
      <c r="T39" s="35" t="str">
        <f t="shared" si="5"/>
        <v/>
      </c>
    </row>
    <row r="40" ht="15.75" customHeight="1">
      <c r="A40" s="4" t="s">
        <v>154</v>
      </c>
      <c r="E40" s="13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4" t="str">
        <f t="shared" si="1"/>
        <v>Sin iniciar</v>
      </c>
      <c r="Q40" s="4" t="str">
        <f t="shared" si="2"/>
        <v>EN GESTIÓN</v>
      </c>
      <c r="R40" s="15">
        <f t="shared" si="3"/>
        <v>0</v>
      </c>
      <c r="S40" s="4" t="str">
        <f t="shared" si="4"/>
        <v>GRIS</v>
      </c>
      <c r="T40" s="35" t="str">
        <f t="shared" si="5"/>
        <v/>
      </c>
    </row>
    <row r="41" ht="15.75" customHeight="1"/>
    <row r="42" ht="15.75" customHeight="1">
      <c r="A42" s="4" t="s">
        <v>91</v>
      </c>
      <c r="B42" s="4" t="s">
        <v>92</v>
      </c>
    </row>
    <row r="43" ht="15.75" customHeight="1">
      <c r="A43" s="4" t="s">
        <v>93</v>
      </c>
      <c r="B43" s="4" t="s">
        <v>94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4:B4"/>
    <mergeCell ref="A5:B6"/>
    <mergeCell ref="D5:E6"/>
    <mergeCell ref="G5:H6"/>
    <mergeCell ref="J5:K6"/>
    <mergeCell ref="M5:N6"/>
    <mergeCell ref="P5:Q6"/>
    <mergeCell ref="S5:T6"/>
    <mergeCell ref="A1:U1"/>
    <mergeCell ref="D4:E4"/>
    <mergeCell ref="G4:H4"/>
    <mergeCell ref="J4:K4"/>
    <mergeCell ref="M4:N4"/>
    <mergeCell ref="P4:Q4"/>
    <mergeCell ref="S4:T4"/>
  </mergeCells>
  <conditionalFormatting sqref="B8">
    <cfRule type="expression" dxfId="0" priority="1">
      <formula>B8="VERDE"</formula>
    </cfRule>
  </conditionalFormatting>
  <conditionalFormatting sqref="B8">
    <cfRule type="expression" dxfId="1" priority="2">
      <formula>B8="AMARILLO"</formula>
    </cfRule>
  </conditionalFormatting>
  <conditionalFormatting sqref="B8">
    <cfRule type="expression" dxfId="2" priority="3">
      <formula>B8="ROJO"</formula>
    </cfRule>
  </conditionalFormatting>
  <conditionalFormatting sqref="H11:H40">
    <cfRule type="expression" dxfId="0" priority="4">
      <formula>H11&lt;&gt;""</formula>
    </cfRule>
  </conditionalFormatting>
  <conditionalFormatting sqref="H11:H40">
    <cfRule type="expression" dxfId="1" priority="5">
      <formula>AND($A11&lt;&gt;"",$H11="")</formula>
    </cfRule>
  </conditionalFormatting>
  <conditionalFormatting sqref="H11:H40">
    <cfRule type="expression" dxfId="3" priority="6">
      <formula>AND($A11&lt;&gt;"",H11="")</formula>
    </cfRule>
  </conditionalFormatting>
  <conditionalFormatting sqref="I11:I40">
    <cfRule type="expression" dxfId="0" priority="7">
      <formula>I11&lt;&gt;""</formula>
    </cfRule>
  </conditionalFormatting>
  <conditionalFormatting sqref="I11:I40">
    <cfRule type="expression" dxfId="1" priority="8">
      <formula>AND($H11&lt;&gt;"",$I11="")</formula>
    </cfRule>
  </conditionalFormatting>
  <conditionalFormatting sqref="I11:I40">
    <cfRule type="expression" dxfId="3" priority="9">
      <formula>AND($A11&lt;&gt;"",I11="")</formula>
    </cfRule>
  </conditionalFormatting>
  <conditionalFormatting sqref="J11:J40">
    <cfRule type="expression" dxfId="0" priority="10">
      <formula>J11&lt;&gt;""</formula>
    </cfRule>
  </conditionalFormatting>
  <conditionalFormatting sqref="J11:J40">
    <cfRule type="expression" dxfId="1" priority="11">
      <formula>AND($I11&lt;&gt;"",$J11="")</formula>
    </cfRule>
  </conditionalFormatting>
  <conditionalFormatting sqref="J11:J40">
    <cfRule type="expression" dxfId="3" priority="12">
      <formula>AND($A11&lt;&gt;"",J11="")</formula>
    </cfRule>
  </conditionalFormatting>
  <conditionalFormatting sqref="K11:K40">
    <cfRule type="expression" dxfId="0" priority="13">
      <formula>K11&lt;&gt;""</formula>
    </cfRule>
  </conditionalFormatting>
  <conditionalFormatting sqref="K11:K40">
    <cfRule type="expression" dxfId="1" priority="14">
      <formula>AND($J11&lt;&gt;"",$K11="")</formula>
    </cfRule>
  </conditionalFormatting>
  <conditionalFormatting sqref="K11:K40">
    <cfRule type="expression" dxfId="3" priority="15">
      <formula>AND($A11&lt;&gt;"",K11="")</formula>
    </cfRule>
  </conditionalFormatting>
  <conditionalFormatting sqref="L11:L40">
    <cfRule type="expression" dxfId="0" priority="16">
      <formula>L11&lt;&gt;""</formula>
    </cfRule>
  </conditionalFormatting>
  <conditionalFormatting sqref="L11:L40">
    <cfRule type="expression" dxfId="1" priority="17">
      <formula>AND($K11&lt;&gt;"",$L11="")</formula>
    </cfRule>
  </conditionalFormatting>
  <conditionalFormatting sqref="L11:L40">
    <cfRule type="expression" dxfId="3" priority="18">
      <formula>AND($A11&lt;&gt;"",L11="")</formula>
    </cfRule>
  </conditionalFormatting>
  <conditionalFormatting sqref="M11:M40">
    <cfRule type="expression" dxfId="0" priority="19">
      <formula>M11&lt;&gt;""</formula>
    </cfRule>
  </conditionalFormatting>
  <conditionalFormatting sqref="M11:M40">
    <cfRule type="expression" dxfId="1" priority="20">
      <formula>AND($L11&lt;&gt;"",$M11="")</formula>
    </cfRule>
  </conditionalFormatting>
  <conditionalFormatting sqref="M11:M40">
    <cfRule type="expression" dxfId="3" priority="21">
      <formula>AND($A11&lt;&gt;"",M11="")</formula>
    </cfRule>
  </conditionalFormatting>
  <conditionalFormatting sqref="N11:N40">
    <cfRule type="expression" dxfId="0" priority="22">
      <formula>N11&lt;&gt;""</formula>
    </cfRule>
  </conditionalFormatting>
  <conditionalFormatting sqref="N11:N40">
    <cfRule type="expression" dxfId="1" priority="23">
      <formula>AND($M11&lt;&gt;"",$N11="")</formula>
    </cfRule>
  </conditionalFormatting>
  <conditionalFormatting sqref="N11:N40">
    <cfRule type="expression" dxfId="3" priority="24">
      <formula>AND($A11&lt;&gt;"",N11="")</formula>
    </cfRule>
  </conditionalFormatting>
  <conditionalFormatting sqref="O11:O40">
    <cfRule type="expression" dxfId="0" priority="25">
      <formula>O11&lt;&gt;""</formula>
    </cfRule>
  </conditionalFormatting>
  <conditionalFormatting sqref="O11:O40">
    <cfRule type="expression" dxfId="1" priority="26">
      <formula>AND($N11&lt;&gt;"",$O11="")</formula>
    </cfRule>
  </conditionalFormatting>
  <conditionalFormatting sqref="O11:O40">
    <cfRule type="expression" dxfId="3" priority="27">
      <formula>AND($A11&lt;&gt;"",O11="")</formula>
    </cfRule>
  </conditionalFormatting>
  <conditionalFormatting sqref="T11:T40">
    <cfRule type="expression" dxfId="0" priority="28">
      <formula>T11="VERDE"</formula>
    </cfRule>
  </conditionalFormatting>
  <conditionalFormatting sqref="T11:T40">
    <cfRule type="expression" dxfId="1" priority="29">
      <formula>T11="AMARILLO"</formula>
    </cfRule>
  </conditionalFormatting>
  <conditionalFormatting sqref="T11:T40">
    <cfRule type="expression" dxfId="2" priority="30">
      <formula>T11="ROJO"</formula>
    </cfRule>
  </conditionalFormatting>
  <conditionalFormatting sqref="T11:T40">
    <cfRule type="expression" dxfId="3" priority="31">
      <formula>T11="GRIS"</formula>
    </cfRule>
  </conditionalFormatting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12.0"/>
    <col customWidth="1" min="2" max="2" width="18.0"/>
    <col customWidth="1" min="3" max="3" width="13.0"/>
    <col customWidth="1" min="4" max="5" width="14.0"/>
    <col customWidth="1" min="6" max="7" width="12.0"/>
    <col customWidth="1" min="8" max="9" width="11.0"/>
    <col customWidth="1" min="10" max="10" width="13.0"/>
    <col customWidth="1" min="11" max="11" width="11.0"/>
    <col customWidth="1" min="12" max="12" width="13.0"/>
    <col customWidth="1" min="13" max="13" width="16.0"/>
    <col customWidth="1" min="14" max="14" width="14.0"/>
    <col customWidth="1" min="15" max="15" width="13.0"/>
    <col customWidth="1" min="16" max="17" width="16.0"/>
    <col customWidth="1" min="18" max="19" width="10.0"/>
    <col customWidth="1" min="20" max="20" width="11.0"/>
    <col customWidth="1" min="21" max="21" width="24.0"/>
    <col customWidth="1" min="22" max="26" width="8.71"/>
  </cols>
  <sheetData>
    <row r="1">
      <c r="A1" s="1" t="s">
        <v>155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</row>
    <row r="3">
      <c r="A3" s="4" t="s">
        <v>9</v>
      </c>
      <c r="B3" s="20" t="s">
        <v>22</v>
      </c>
      <c r="D3" s="4" t="s">
        <v>41</v>
      </c>
      <c r="E3" s="20"/>
      <c r="G3" s="4" t="s">
        <v>42</v>
      </c>
      <c r="H3" s="20" t="s">
        <v>43</v>
      </c>
      <c r="J3" s="4" t="s">
        <v>44</v>
      </c>
      <c r="K3" s="20"/>
    </row>
    <row r="4">
      <c r="A4" s="6" t="s">
        <v>10</v>
      </c>
      <c r="B4" s="3"/>
      <c r="D4" s="6" t="s">
        <v>4</v>
      </c>
      <c r="E4" s="3"/>
      <c r="G4" s="6" t="s">
        <v>11</v>
      </c>
      <c r="H4" s="3"/>
      <c r="J4" s="6" t="s">
        <v>12</v>
      </c>
      <c r="K4" s="3"/>
      <c r="M4" s="6" t="s">
        <v>13</v>
      </c>
      <c r="N4" s="3"/>
      <c r="P4" s="6" t="s">
        <v>14</v>
      </c>
      <c r="Q4" s="3"/>
      <c r="S4" s="6" t="s">
        <v>15</v>
      </c>
      <c r="T4" s="3"/>
    </row>
    <row r="5">
      <c r="A5" s="24">
        <f>COUNTIF(A11:A40,"&lt;&gt;")</f>
        <v>30</v>
      </c>
      <c r="D5" s="25">
        <f>SUM(E11:E40)</f>
        <v>0</v>
      </c>
      <c r="G5" s="24">
        <f>COUNTIF(R11:R40,"COMPLETA")</f>
        <v>0</v>
      </c>
      <c r="J5" s="24">
        <f>COUNTIFS(R11:R40,"&lt;&gt;COMPLETA",A11:A40,"&lt;&gt;")</f>
        <v>30</v>
      </c>
      <c r="M5" s="24">
        <f>COUNTIF(T11:T40,"ROJO")</f>
        <v>0</v>
      </c>
      <c r="P5" s="26">
        <f>IFERROR(AVERAGE(S11:S40),0)</f>
        <v>0</v>
      </c>
      <c r="S5" s="27">
        <f>IFERROR(MINIFS(G11:G40,R11:R40,"&lt;&gt;COMPLETA",G11:G40,"&gt;0"),0)</f>
        <v>0</v>
      </c>
    </row>
    <row r="8">
      <c r="A8" s="4" t="s">
        <v>46</v>
      </c>
      <c r="B8" s="4" t="str">
        <f>IF(J5&gt;0,"ROJO",IF(H5&gt;0,"AMARILLO","VERDE"))</f>
        <v>ROJO</v>
      </c>
      <c r="D8" s="4" t="s">
        <v>47</v>
      </c>
      <c r="E8" s="28" t="str">
        <f>IF(B8="ROJO","Escalar órdenes vencidas",IF(B8="AMARILLO","Monitorear órdenes activas","Operación estable"))</f>
        <v>Escalar órdenes vencidas</v>
      </c>
    </row>
    <row r="10">
      <c r="A10" s="30" t="s">
        <v>32</v>
      </c>
      <c r="B10" s="30" t="s">
        <v>48</v>
      </c>
      <c r="C10" s="30" t="s">
        <v>49</v>
      </c>
      <c r="D10" s="30" t="s">
        <v>44</v>
      </c>
      <c r="E10" s="30" t="s">
        <v>33</v>
      </c>
      <c r="F10" s="30" t="s">
        <v>37</v>
      </c>
      <c r="G10" s="30" t="s">
        <v>38</v>
      </c>
      <c r="H10" s="30" t="s">
        <v>51</v>
      </c>
      <c r="I10" s="30" t="s">
        <v>52</v>
      </c>
      <c r="J10" s="30" t="s">
        <v>53</v>
      </c>
      <c r="K10" s="30" t="s">
        <v>34</v>
      </c>
      <c r="L10" s="30" t="s">
        <v>54</v>
      </c>
      <c r="M10" s="30" t="s">
        <v>55</v>
      </c>
      <c r="N10" s="30" t="s">
        <v>56</v>
      </c>
      <c r="O10" s="30" t="s">
        <v>57</v>
      </c>
      <c r="P10" s="30" t="s">
        <v>58</v>
      </c>
      <c r="Q10" s="30" t="s">
        <v>59</v>
      </c>
      <c r="R10" s="30" t="s">
        <v>60</v>
      </c>
      <c r="S10" s="30" t="s">
        <v>61</v>
      </c>
      <c r="T10" s="30" t="s">
        <v>62</v>
      </c>
      <c r="U10" s="30" t="s">
        <v>39</v>
      </c>
    </row>
    <row r="11">
      <c r="A11" s="4" t="s">
        <v>156</v>
      </c>
      <c r="E11" s="13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4" t="str">
        <f t="shared" ref="P11:P40" si="1">IF(O11&lt;&gt;"","Llega bodega",IF(N11&lt;&gt;"","Llega puerto MX",IF(M11&lt;&gt;"","Sale puerto origen",IF(L11&lt;&gt;"","Producción OK",IF(K11&lt;&gt;"","Anticipo",IF(J11&lt;&gt;"","Info empaque",IF(I11&lt;&gt;"","Aprobar",IF(H11&lt;&gt;"","Cotizar","Sin iniciar"))))))))</f>
        <v>Sin iniciar</v>
      </c>
      <c r="Q11" s="4" t="str">
        <f t="shared" ref="Q11:Q40" si="2">IF(A11="","",IF(O11&lt;&gt;"","COMPLETA",IF(M11&lt;&gt;"","EN TRÁNSITO",IF(L11&lt;&gt;"","EN PRODUCCIÓN",IF(K11&lt;&gt;"","PAGADA / EN ESPERA","EN GESTIÓN")))))</f>
        <v>EN GESTIÓN</v>
      </c>
      <c r="R11" s="15">
        <f t="shared" ref="R11:R40" si="3">COUNT(H11:O11)/8</f>
        <v>0</v>
      </c>
      <c r="S11" s="4" t="str">
        <f t="shared" ref="S11:S40" si="4">IF(A11="","",IF(O11&lt;&gt;"","VERDE",IF(AND(G11&lt;&gt;"",TODAY()&gt;G11),"ROJO",IF(COUNT(H11:O11)=0,"GRIS","AMARILLO"))))</f>
        <v>GRIS</v>
      </c>
      <c r="T11" s="35" t="str">
        <f t="shared" ref="T11:T40" si="5">IF(COUNT(H11:O11)=0,"",TODAY()-MAX(H11:O11))</f>
        <v/>
      </c>
    </row>
    <row r="12">
      <c r="A12" s="4" t="s">
        <v>157</v>
      </c>
      <c r="E12" s="13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4" t="str">
        <f t="shared" si="1"/>
        <v>Sin iniciar</v>
      </c>
      <c r="Q12" s="4" t="str">
        <f t="shared" si="2"/>
        <v>EN GESTIÓN</v>
      </c>
      <c r="R12" s="15">
        <f t="shared" si="3"/>
        <v>0</v>
      </c>
      <c r="S12" s="4" t="str">
        <f t="shared" si="4"/>
        <v>GRIS</v>
      </c>
      <c r="T12" s="35" t="str">
        <f t="shared" si="5"/>
        <v/>
      </c>
    </row>
    <row r="13">
      <c r="A13" s="4" t="s">
        <v>158</v>
      </c>
      <c r="E13" s="13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4" t="str">
        <f t="shared" si="1"/>
        <v>Sin iniciar</v>
      </c>
      <c r="Q13" s="4" t="str">
        <f t="shared" si="2"/>
        <v>EN GESTIÓN</v>
      </c>
      <c r="R13" s="15">
        <f t="shared" si="3"/>
        <v>0</v>
      </c>
      <c r="S13" s="4" t="str">
        <f t="shared" si="4"/>
        <v>GRIS</v>
      </c>
      <c r="T13" s="35" t="str">
        <f t="shared" si="5"/>
        <v/>
      </c>
    </row>
    <row r="14">
      <c r="A14" s="4" t="s">
        <v>159</v>
      </c>
      <c r="E14" s="13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4" t="str">
        <f t="shared" si="1"/>
        <v>Sin iniciar</v>
      </c>
      <c r="Q14" s="4" t="str">
        <f t="shared" si="2"/>
        <v>EN GESTIÓN</v>
      </c>
      <c r="R14" s="15">
        <f t="shared" si="3"/>
        <v>0</v>
      </c>
      <c r="S14" s="4" t="str">
        <f t="shared" si="4"/>
        <v>GRIS</v>
      </c>
      <c r="T14" s="35" t="str">
        <f t="shared" si="5"/>
        <v/>
      </c>
    </row>
    <row r="15">
      <c r="A15" s="4" t="s">
        <v>160</v>
      </c>
      <c r="E15" s="13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4" t="str">
        <f t="shared" si="1"/>
        <v>Sin iniciar</v>
      </c>
      <c r="Q15" s="4" t="str">
        <f t="shared" si="2"/>
        <v>EN GESTIÓN</v>
      </c>
      <c r="R15" s="15">
        <f t="shared" si="3"/>
        <v>0</v>
      </c>
      <c r="S15" s="4" t="str">
        <f t="shared" si="4"/>
        <v>GRIS</v>
      </c>
      <c r="T15" s="35" t="str">
        <f t="shared" si="5"/>
        <v/>
      </c>
    </row>
    <row r="16">
      <c r="A16" s="4" t="s">
        <v>161</v>
      </c>
      <c r="E16" s="13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4" t="str">
        <f t="shared" si="1"/>
        <v>Sin iniciar</v>
      </c>
      <c r="Q16" s="4" t="str">
        <f t="shared" si="2"/>
        <v>EN GESTIÓN</v>
      </c>
      <c r="R16" s="15">
        <f t="shared" si="3"/>
        <v>0</v>
      </c>
      <c r="S16" s="4" t="str">
        <f t="shared" si="4"/>
        <v>GRIS</v>
      </c>
      <c r="T16" s="35" t="str">
        <f t="shared" si="5"/>
        <v/>
      </c>
    </row>
    <row r="17">
      <c r="A17" s="4" t="s">
        <v>162</v>
      </c>
      <c r="E17" s="13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4" t="str">
        <f t="shared" si="1"/>
        <v>Sin iniciar</v>
      </c>
      <c r="Q17" s="4" t="str">
        <f t="shared" si="2"/>
        <v>EN GESTIÓN</v>
      </c>
      <c r="R17" s="15">
        <f t="shared" si="3"/>
        <v>0</v>
      </c>
      <c r="S17" s="4" t="str">
        <f t="shared" si="4"/>
        <v>GRIS</v>
      </c>
      <c r="T17" s="35" t="str">
        <f t="shared" si="5"/>
        <v/>
      </c>
    </row>
    <row r="18">
      <c r="A18" s="4" t="s">
        <v>163</v>
      </c>
      <c r="E18" s="13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4" t="str">
        <f t="shared" si="1"/>
        <v>Sin iniciar</v>
      </c>
      <c r="Q18" s="4" t="str">
        <f t="shared" si="2"/>
        <v>EN GESTIÓN</v>
      </c>
      <c r="R18" s="15">
        <f t="shared" si="3"/>
        <v>0</v>
      </c>
      <c r="S18" s="4" t="str">
        <f t="shared" si="4"/>
        <v>GRIS</v>
      </c>
      <c r="T18" s="35" t="str">
        <f t="shared" si="5"/>
        <v/>
      </c>
    </row>
    <row r="19">
      <c r="A19" s="4" t="s">
        <v>164</v>
      </c>
      <c r="E19" s="13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4" t="str">
        <f t="shared" si="1"/>
        <v>Sin iniciar</v>
      </c>
      <c r="Q19" s="4" t="str">
        <f t="shared" si="2"/>
        <v>EN GESTIÓN</v>
      </c>
      <c r="R19" s="15">
        <f t="shared" si="3"/>
        <v>0</v>
      </c>
      <c r="S19" s="4" t="str">
        <f t="shared" si="4"/>
        <v>GRIS</v>
      </c>
      <c r="T19" s="35" t="str">
        <f t="shared" si="5"/>
        <v/>
      </c>
    </row>
    <row r="20">
      <c r="A20" s="4" t="s">
        <v>165</v>
      </c>
      <c r="E20" s="13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4" t="str">
        <f t="shared" si="1"/>
        <v>Sin iniciar</v>
      </c>
      <c r="Q20" s="4" t="str">
        <f t="shared" si="2"/>
        <v>EN GESTIÓN</v>
      </c>
      <c r="R20" s="15">
        <f t="shared" si="3"/>
        <v>0</v>
      </c>
      <c r="S20" s="4" t="str">
        <f t="shared" si="4"/>
        <v>GRIS</v>
      </c>
      <c r="T20" s="35" t="str">
        <f t="shared" si="5"/>
        <v/>
      </c>
    </row>
    <row r="21" ht="15.75" customHeight="1">
      <c r="A21" s="4" t="s">
        <v>166</v>
      </c>
      <c r="E21" s="13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4" t="str">
        <f t="shared" si="1"/>
        <v>Sin iniciar</v>
      </c>
      <c r="Q21" s="4" t="str">
        <f t="shared" si="2"/>
        <v>EN GESTIÓN</v>
      </c>
      <c r="R21" s="15">
        <f t="shared" si="3"/>
        <v>0</v>
      </c>
      <c r="S21" s="4" t="str">
        <f t="shared" si="4"/>
        <v>GRIS</v>
      </c>
      <c r="T21" s="35" t="str">
        <f t="shared" si="5"/>
        <v/>
      </c>
    </row>
    <row r="22" ht="15.75" customHeight="1">
      <c r="A22" s="4" t="s">
        <v>167</v>
      </c>
      <c r="E22" s="13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4" t="str">
        <f t="shared" si="1"/>
        <v>Sin iniciar</v>
      </c>
      <c r="Q22" s="4" t="str">
        <f t="shared" si="2"/>
        <v>EN GESTIÓN</v>
      </c>
      <c r="R22" s="15">
        <f t="shared" si="3"/>
        <v>0</v>
      </c>
      <c r="S22" s="4" t="str">
        <f t="shared" si="4"/>
        <v>GRIS</v>
      </c>
      <c r="T22" s="35" t="str">
        <f t="shared" si="5"/>
        <v/>
      </c>
    </row>
    <row r="23" ht="15.75" customHeight="1">
      <c r="A23" s="4" t="s">
        <v>168</v>
      </c>
      <c r="E23" s="13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4" t="str">
        <f t="shared" si="1"/>
        <v>Sin iniciar</v>
      </c>
      <c r="Q23" s="4" t="str">
        <f t="shared" si="2"/>
        <v>EN GESTIÓN</v>
      </c>
      <c r="R23" s="15">
        <f t="shared" si="3"/>
        <v>0</v>
      </c>
      <c r="S23" s="4" t="str">
        <f t="shared" si="4"/>
        <v>GRIS</v>
      </c>
      <c r="T23" s="35" t="str">
        <f t="shared" si="5"/>
        <v/>
      </c>
    </row>
    <row r="24" ht="15.75" customHeight="1">
      <c r="A24" s="4" t="s">
        <v>169</v>
      </c>
      <c r="E24" s="13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4" t="str">
        <f t="shared" si="1"/>
        <v>Sin iniciar</v>
      </c>
      <c r="Q24" s="4" t="str">
        <f t="shared" si="2"/>
        <v>EN GESTIÓN</v>
      </c>
      <c r="R24" s="15">
        <f t="shared" si="3"/>
        <v>0</v>
      </c>
      <c r="S24" s="4" t="str">
        <f t="shared" si="4"/>
        <v>GRIS</v>
      </c>
      <c r="T24" s="35" t="str">
        <f t="shared" si="5"/>
        <v/>
      </c>
    </row>
    <row r="25" ht="15.75" customHeight="1">
      <c r="A25" s="4" t="s">
        <v>170</v>
      </c>
      <c r="E25" s="13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4" t="str">
        <f t="shared" si="1"/>
        <v>Sin iniciar</v>
      </c>
      <c r="Q25" s="4" t="str">
        <f t="shared" si="2"/>
        <v>EN GESTIÓN</v>
      </c>
      <c r="R25" s="15">
        <f t="shared" si="3"/>
        <v>0</v>
      </c>
      <c r="S25" s="4" t="str">
        <f t="shared" si="4"/>
        <v>GRIS</v>
      </c>
      <c r="T25" s="35" t="str">
        <f t="shared" si="5"/>
        <v/>
      </c>
    </row>
    <row r="26" ht="15.75" customHeight="1">
      <c r="A26" s="4" t="s">
        <v>171</v>
      </c>
      <c r="E26" s="13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4" t="str">
        <f t="shared" si="1"/>
        <v>Sin iniciar</v>
      </c>
      <c r="Q26" s="4" t="str">
        <f t="shared" si="2"/>
        <v>EN GESTIÓN</v>
      </c>
      <c r="R26" s="15">
        <f t="shared" si="3"/>
        <v>0</v>
      </c>
      <c r="S26" s="4" t="str">
        <f t="shared" si="4"/>
        <v>GRIS</v>
      </c>
      <c r="T26" s="35" t="str">
        <f t="shared" si="5"/>
        <v/>
      </c>
    </row>
    <row r="27" ht="15.75" customHeight="1">
      <c r="A27" s="4" t="s">
        <v>172</v>
      </c>
      <c r="E27" s="13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4" t="str">
        <f t="shared" si="1"/>
        <v>Sin iniciar</v>
      </c>
      <c r="Q27" s="4" t="str">
        <f t="shared" si="2"/>
        <v>EN GESTIÓN</v>
      </c>
      <c r="R27" s="15">
        <f t="shared" si="3"/>
        <v>0</v>
      </c>
      <c r="S27" s="4" t="str">
        <f t="shared" si="4"/>
        <v>GRIS</v>
      </c>
      <c r="T27" s="35" t="str">
        <f t="shared" si="5"/>
        <v/>
      </c>
    </row>
    <row r="28" ht="15.75" customHeight="1">
      <c r="A28" s="4" t="s">
        <v>173</v>
      </c>
      <c r="E28" s="13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4" t="str">
        <f t="shared" si="1"/>
        <v>Sin iniciar</v>
      </c>
      <c r="Q28" s="4" t="str">
        <f t="shared" si="2"/>
        <v>EN GESTIÓN</v>
      </c>
      <c r="R28" s="15">
        <f t="shared" si="3"/>
        <v>0</v>
      </c>
      <c r="S28" s="4" t="str">
        <f t="shared" si="4"/>
        <v>GRIS</v>
      </c>
      <c r="T28" s="35" t="str">
        <f t="shared" si="5"/>
        <v/>
      </c>
    </row>
    <row r="29" ht="15.75" customHeight="1">
      <c r="A29" s="4" t="s">
        <v>174</v>
      </c>
      <c r="E29" s="13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4" t="str">
        <f t="shared" si="1"/>
        <v>Sin iniciar</v>
      </c>
      <c r="Q29" s="4" t="str">
        <f t="shared" si="2"/>
        <v>EN GESTIÓN</v>
      </c>
      <c r="R29" s="15">
        <f t="shared" si="3"/>
        <v>0</v>
      </c>
      <c r="S29" s="4" t="str">
        <f t="shared" si="4"/>
        <v>GRIS</v>
      </c>
      <c r="T29" s="35" t="str">
        <f t="shared" si="5"/>
        <v/>
      </c>
    </row>
    <row r="30" ht="15.75" customHeight="1">
      <c r="A30" s="4" t="s">
        <v>175</v>
      </c>
      <c r="E30" s="13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4" t="str">
        <f t="shared" si="1"/>
        <v>Sin iniciar</v>
      </c>
      <c r="Q30" s="4" t="str">
        <f t="shared" si="2"/>
        <v>EN GESTIÓN</v>
      </c>
      <c r="R30" s="15">
        <f t="shared" si="3"/>
        <v>0</v>
      </c>
      <c r="S30" s="4" t="str">
        <f t="shared" si="4"/>
        <v>GRIS</v>
      </c>
      <c r="T30" s="35" t="str">
        <f t="shared" si="5"/>
        <v/>
      </c>
    </row>
    <row r="31" ht="15.75" customHeight="1">
      <c r="A31" s="4" t="s">
        <v>176</v>
      </c>
      <c r="E31" s="13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4" t="str">
        <f t="shared" si="1"/>
        <v>Sin iniciar</v>
      </c>
      <c r="Q31" s="4" t="str">
        <f t="shared" si="2"/>
        <v>EN GESTIÓN</v>
      </c>
      <c r="R31" s="15">
        <f t="shared" si="3"/>
        <v>0</v>
      </c>
      <c r="S31" s="4" t="str">
        <f t="shared" si="4"/>
        <v>GRIS</v>
      </c>
      <c r="T31" s="35" t="str">
        <f t="shared" si="5"/>
        <v/>
      </c>
    </row>
    <row r="32" ht="15.75" customHeight="1">
      <c r="A32" s="4" t="s">
        <v>177</v>
      </c>
      <c r="E32" s="13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4" t="str">
        <f t="shared" si="1"/>
        <v>Sin iniciar</v>
      </c>
      <c r="Q32" s="4" t="str">
        <f t="shared" si="2"/>
        <v>EN GESTIÓN</v>
      </c>
      <c r="R32" s="15">
        <f t="shared" si="3"/>
        <v>0</v>
      </c>
      <c r="S32" s="4" t="str">
        <f t="shared" si="4"/>
        <v>GRIS</v>
      </c>
      <c r="T32" s="35" t="str">
        <f t="shared" si="5"/>
        <v/>
      </c>
    </row>
    <row r="33" ht="15.75" customHeight="1">
      <c r="A33" s="4" t="s">
        <v>178</v>
      </c>
      <c r="E33" s="13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4" t="str">
        <f t="shared" si="1"/>
        <v>Sin iniciar</v>
      </c>
      <c r="Q33" s="4" t="str">
        <f t="shared" si="2"/>
        <v>EN GESTIÓN</v>
      </c>
      <c r="R33" s="15">
        <f t="shared" si="3"/>
        <v>0</v>
      </c>
      <c r="S33" s="4" t="str">
        <f t="shared" si="4"/>
        <v>GRIS</v>
      </c>
      <c r="T33" s="35" t="str">
        <f t="shared" si="5"/>
        <v/>
      </c>
    </row>
    <row r="34" ht="15.75" customHeight="1">
      <c r="A34" s="4" t="s">
        <v>179</v>
      </c>
      <c r="E34" s="13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4" t="str">
        <f t="shared" si="1"/>
        <v>Sin iniciar</v>
      </c>
      <c r="Q34" s="4" t="str">
        <f t="shared" si="2"/>
        <v>EN GESTIÓN</v>
      </c>
      <c r="R34" s="15">
        <f t="shared" si="3"/>
        <v>0</v>
      </c>
      <c r="S34" s="4" t="str">
        <f t="shared" si="4"/>
        <v>GRIS</v>
      </c>
      <c r="T34" s="35" t="str">
        <f t="shared" si="5"/>
        <v/>
      </c>
    </row>
    <row r="35" ht="15.75" customHeight="1">
      <c r="A35" s="4" t="s">
        <v>180</v>
      </c>
      <c r="E35" s="13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4" t="str">
        <f t="shared" si="1"/>
        <v>Sin iniciar</v>
      </c>
      <c r="Q35" s="4" t="str">
        <f t="shared" si="2"/>
        <v>EN GESTIÓN</v>
      </c>
      <c r="R35" s="15">
        <f t="shared" si="3"/>
        <v>0</v>
      </c>
      <c r="S35" s="4" t="str">
        <f t="shared" si="4"/>
        <v>GRIS</v>
      </c>
      <c r="T35" s="35" t="str">
        <f t="shared" si="5"/>
        <v/>
      </c>
    </row>
    <row r="36" ht="15.75" customHeight="1">
      <c r="A36" s="4" t="s">
        <v>181</v>
      </c>
      <c r="E36" s="13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4" t="str">
        <f t="shared" si="1"/>
        <v>Sin iniciar</v>
      </c>
      <c r="Q36" s="4" t="str">
        <f t="shared" si="2"/>
        <v>EN GESTIÓN</v>
      </c>
      <c r="R36" s="15">
        <f t="shared" si="3"/>
        <v>0</v>
      </c>
      <c r="S36" s="4" t="str">
        <f t="shared" si="4"/>
        <v>GRIS</v>
      </c>
      <c r="T36" s="35" t="str">
        <f t="shared" si="5"/>
        <v/>
      </c>
    </row>
    <row r="37" ht="15.75" customHeight="1">
      <c r="A37" s="4" t="s">
        <v>182</v>
      </c>
      <c r="E37" s="13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4" t="str">
        <f t="shared" si="1"/>
        <v>Sin iniciar</v>
      </c>
      <c r="Q37" s="4" t="str">
        <f t="shared" si="2"/>
        <v>EN GESTIÓN</v>
      </c>
      <c r="R37" s="15">
        <f t="shared" si="3"/>
        <v>0</v>
      </c>
      <c r="S37" s="4" t="str">
        <f t="shared" si="4"/>
        <v>GRIS</v>
      </c>
      <c r="T37" s="35" t="str">
        <f t="shared" si="5"/>
        <v/>
      </c>
    </row>
    <row r="38" ht="15.75" customHeight="1">
      <c r="A38" s="4" t="s">
        <v>183</v>
      </c>
      <c r="E38" s="13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4" t="str">
        <f t="shared" si="1"/>
        <v>Sin iniciar</v>
      </c>
      <c r="Q38" s="4" t="str">
        <f t="shared" si="2"/>
        <v>EN GESTIÓN</v>
      </c>
      <c r="R38" s="15">
        <f t="shared" si="3"/>
        <v>0</v>
      </c>
      <c r="S38" s="4" t="str">
        <f t="shared" si="4"/>
        <v>GRIS</v>
      </c>
      <c r="T38" s="35" t="str">
        <f t="shared" si="5"/>
        <v/>
      </c>
    </row>
    <row r="39" ht="15.75" customHeight="1">
      <c r="A39" s="4" t="s">
        <v>184</v>
      </c>
      <c r="E39" s="13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4" t="str">
        <f t="shared" si="1"/>
        <v>Sin iniciar</v>
      </c>
      <c r="Q39" s="4" t="str">
        <f t="shared" si="2"/>
        <v>EN GESTIÓN</v>
      </c>
      <c r="R39" s="15">
        <f t="shared" si="3"/>
        <v>0</v>
      </c>
      <c r="S39" s="4" t="str">
        <f t="shared" si="4"/>
        <v>GRIS</v>
      </c>
      <c r="T39" s="35" t="str">
        <f t="shared" si="5"/>
        <v/>
      </c>
    </row>
    <row r="40" ht="15.75" customHeight="1">
      <c r="A40" s="4" t="s">
        <v>185</v>
      </c>
      <c r="E40" s="13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4" t="str">
        <f t="shared" si="1"/>
        <v>Sin iniciar</v>
      </c>
      <c r="Q40" s="4" t="str">
        <f t="shared" si="2"/>
        <v>EN GESTIÓN</v>
      </c>
      <c r="R40" s="15">
        <f t="shared" si="3"/>
        <v>0</v>
      </c>
      <c r="S40" s="4" t="str">
        <f t="shared" si="4"/>
        <v>GRIS</v>
      </c>
      <c r="T40" s="35" t="str">
        <f t="shared" si="5"/>
        <v/>
      </c>
    </row>
    <row r="41" ht="15.75" customHeight="1"/>
    <row r="42" ht="15.75" customHeight="1">
      <c r="A42" s="4" t="s">
        <v>91</v>
      </c>
      <c r="B42" s="4" t="s">
        <v>92</v>
      </c>
    </row>
    <row r="43" ht="15.75" customHeight="1">
      <c r="A43" s="4" t="s">
        <v>93</v>
      </c>
      <c r="B43" s="4" t="s">
        <v>94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4:B4"/>
    <mergeCell ref="A5:B6"/>
    <mergeCell ref="D5:E6"/>
    <mergeCell ref="G5:H6"/>
    <mergeCell ref="J5:K6"/>
    <mergeCell ref="M5:N6"/>
    <mergeCell ref="P5:Q6"/>
    <mergeCell ref="S5:T6"/>
    <mergeCell ref="A1:U1"/>
    <mergeCell ref="D4:E4"/>
    <mergeCell ref="G4:H4"/>
    <mergeCell ref="J4:K4"/>
    <mergeCell ref="M4:N4"/>
    <mergeCell ref="P4:Q4"/>
    <mergeCell ref="S4:T4"/>
  </mergeCells>
  <conditionalFormatting sqref="B8">
    <cfRule type="expression" dxfId="0" priority="1">
      <formula>B8="VERDE"</formula>
    </cfRule>
  </conditionalFormatting>
  <conditionalFormatting sqref="B8">
    <cfRule type="expression" dxfId="1" priority="2">
      <formula>B8="AMARILLO"</formula>
    </cfRule>
  </conditionalFormatting>
  <conditionalFormatting sqref="B8">
    <cfRule type="expression" dxfId="2" priority="3">
      <formula>B8="ROJO"</formula>
    </cfRule>
  </conditionalFormatting>
  <conditionalFormatting sqref="H11:H40">
    <cfRule type="expression" dxfId="0" priority="4">
      <formula>H11&lt;&gt;""</formula>
    </cfRule>
  </conditionalFormatting>
  <conditionalFormatting sqref="H11:H40">
    <cfRule type="expression" dxfId="1" priority="5">
      <formula>AND($A11&lt;&gt;"",$H11="")</formula>
    </cfRule>
  </conditionalFormatting>
  <conditionalFormatting sqref="H11:H40">
    <cfRule type="expression" dxfId="3" priority="6">
      <formula>AND($A11&lt;&gt;"",H11="")</formula>
    </cfRule>
  </conditionalFormatting>
  <conditionalFormatting sqref="I11:I40">
    <cfRule type="expression" dxfId="0" priority="7">
      <formula>I11&lt;&gt;""</formula>
    </cfRule>
  </conditionalFormatting>
  <conditionalFormatting sqref="I11:I40">
    <cfRule type="expression" dxfId="1" priority="8">
      <formula>AND($H11&lt;&gt;"",$I11="")</formula>
    </cfRule>
  </conditionalFormatting>
  <conditionalFormatting sqref="I11:I40">
    <cfRule type="expression" dxfId="3" priority="9">
      <formula>AND($A11&lt;&gt;"",I11="")</formula>
    </cfRule>
  </conditionalFormatting>
  <conditionalFormatting sqref="J11:J40">
    <cfRule type="expression" dxfId="0" priority="10">
      <formula>J11&lt;&gt;""</formula>
    </cfRule>
  </conditionalFormatting>
  <conditionalFormatting sqref="J11:J40">
    <cfRule type="expression" dxfId="1" priority="11">
      <formula>AND($I11&lt;&gt;"",$J11="")</formula>
    </cfRule>
  </conditionalFormatting>
  <conditionalFormatting sqref="J11:J40">
    <cfRule type="expression" dxfId="3" priority="12">
      <formula>AND($A11&lt;&gt;"",J11="")</formula>
    </cfRule>
  </conditionalFormatting>
  <conditionalFormatting sqref="K11:K40">
    <cfRule type="expression" dxfId="0" priority="13">
      <formula>K11&lt;&gt;""</formula>
    </cfRule>
  </conditionalFormatting>
  <conditionalFormatting sqref="K11:K40">
    <cfRule type="expression" dxfId="1" priority="14">
      <formula>AND($J11&lt;&gt;"",$K11="")</formula>
    </cfRule>
  </conditionalFormatting>
  <conditionalFormatting sqref="K11:K40">
    <cfRule type="expression" dxfId="3" priority="15">
      <formula>AND($A11&lt;&gt;"",K11="")</formula>
    </cfRule>
  </conditionalFormatting>
  <conditionalFormatting sqref="L11:L40">
    <cfRule type="expression" dxfId="0" priority="16">
      <formula>L11&lt;&gt;""</formula>
    </cfRule>
  </conditionalFormatting>
  <conditionalFormatting sqref="L11:L40">
    <cfRule type="expression" dxfId="1" priority="17">
      <formula>AND($K11&lt;&gt;"",$L11="")</formula>
    </cfRule>
  </conditionalFormatting>
  <conditionalFormatting sqref="L11:L40">
    <cfRule type="expression" dxfId="3" priority="18">
      <formula>AND($A11&lt;&gt;"",L11="")</formula>
    </cfRule>
  </conditionalFormatting>
  <conditionalFormatting sqref="M11:M40">
    <cfRule type="expression" dxfId="0" priority="19">
      <formula>M11&lt;&gt;""</formula>
    </cfRule>
  </conditionalFormatting>
  <conditionalFormatting sqref="M11:M40">
    <cfRule type="expression" dxfId="1" priority="20">
      <formula>AND($L11&lt;&gt;"",$M11="")</formula>
    </cfRule>
  </conditionalFormatting>
  <conditionalFormatting sqref="M11:M40">
    <cfRule type="expression" dxfId="3" priority="21">
      <formula>AND($A11&lt;&gt;"",M11="")</formula>
    </cfRule>
  </conditionalFormatting>
  <conditionalFormatting sqref="N11:N40">
    <cfRule type="expression" dxfId="0" priority="22">
      <formula>N11&lt;&gt;""</formula>
    </cfRule>
  </conditionalFormatting>
  <conditionalFormatting sqref="N11:N40">
    <cfRule type="expression" dxfId="1" priority="23">
      <formula>AND($M11&lt;&gt;"",$N11="")</formula>
    </cfRule>
  </conditionalFormatting>
  <conditionalFormatting sqref="N11:N40">
    <cfRule type="expression" dxfId="3" priority="24">
      <formula>AND($A11&lt;&gt;"",N11="")</formula>
    </cfRule>
  </conditionalFormatting>
  <conditionalFormatting sqref="O11:O40">
    <cfRule type="expression" dxfId="0" priority="25">
      <formula>O11&lt;&gt;""</formula>
    </cfRule>
  </conditionalFormatting>
  <conditionalFormatting sqref="O11:O40">
    <cfRule type="expression" dxfId="1" priority="26">
      <formula>AND($N11&lt;&gt;"",$O11="")</formula>
    </cfRule>
  </conditionalFormatting>
  <conditionalFormatting sqref="O11:O40">
    <cfRule type="expression" dxfId="3" priority="27">
      <formula>AND($A11&lt;&gt;"",O11="")</formula>
    </cfRule>
  </conditionalFormatting>
  <conditionalFormatting sqref="T11:T40">
    <cfRule type="expression" dxfId="0" priority="28">
      <formula>T11="VERDE"</formula>
    </cfRule>
  </conditionalFormatting>
  <conditionalFormatting sqref="T11:T40">
    <cfRule type="expression" dxfId="1" priority="29">
      <formula>T11="AMARILLO"</formula>
    </cfRule>
  </conditionalFormatting>
  <conditionalFormatting sqref="T11:T40">
    <cfRule type="expression" dxfId="2" priority="30">
      <formula>T11="ROJO"</formula>
    </cfRule>
  </conditionalFormatting>
  <conditionalFormatting sqref="T11:T40">
    <cfRule type="expression" dxfId="3" priority="31">
      <formula>T11="GRIS"</formula>
    </cfRule>
  </conditionalFormatting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12.0"/>
    <col customWidth="1" min="2" max="2" width="18.0"/>
    <col customWidth="1" min="3" max="3" width="13.0"/>
    <col customWidth="1" min="4" max="5" width="14.0"/>
    <col customWidth="1" min="6" max="7" width="12.0"/>
    <col customWidth="1" min="8" max="9" width="11.0"/>
    <col customWidth="1" min="10" max="10" width="13.0"/>
    <col customWidth="1" min="11" max="11" width="11.0"/>
    <col customWidth="1" min="12" max="12" width="13.0"/>
    <col customWidth="1" min="13" max="13" width="16.0"/>
    <col customWidth="1" min="14" max="14" width="14.0"/>
    <col customWidth="1" min="15" max="15" width="13.0"/>
    <col customWidth="1" min="16" max="17" width="16.0"/>
    <col customWidth="1" min="18" max="19" width="10.0"/>
    <col customWidth="1" min="20" max="20" width="11.0"/>
    <col customWidth="1" min="21" max="21" width="24.0"/>
    <col customWidth="1" min="22" max="26" width="8.71"/>
  </cols>
  <sheetData>
    <row r="1">
      <c r="A1" s="1" t="s">
        <v>186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</row>
    <row r="3">
      <c r="A3" s="4" t="s">
        <v>9</v>
      </c>
      <c r="B3" s="20" t="s">
        <v>23</v>
      </c>
      <c r="D3" s="4" t="s">
        <v>41</v>
      </c>
      <c r="E3" s="20"/>
      <c r="G3" s="4" t="s">
        <v>42</v>
      </c>
      <c r="H3" s="20" t="s">
        <v>43</v>
      </c>
      <c r="J3" s="4" t="s">
        <v>44</v>
      </c>
      <c r="K3" s="20"/>
    </row>
    <row r="4">
      <c r="A4" s="6" t="s">
        <v>10</v>
      </c>
      <c r="B4" s="3"/>
      <c r="D4" s="6" t="s">
        <v>4</v>
      </c>
      <c r="E4" s="3"/>
      <c r="G4" s="6" t="s">
        <v>11</v>
      </c>
      <c r="H4" s="3"/>
      <c r="J4" s="6" t="s">
        <v>12</v>
      </c>
      <c r="K4" s="3"/>
      <c r="M4" s="6" t="s">
        <v>13</v>
      </c>
      <c r="N4" s="3"/>
      <c r="P4" s="6" t="s">
        <v>14</v>
      </c>
      <c r="Q4" s="3"/>
      <c r="S4" s="6" t="s">
        <v>15</v>
      </c>
      <c r="T4" s="3"/>
    </row>
    <row r="5">
      <c r="A5" s="24">
        <f>COUNTIF(A11:A40,"&lt;&gt;")</f>
        <v>30</v>
      </c>
      <c r="D5" s="25">
        <f>SUM(E11:E40)</f>
        <v>0</v>
      </c>
      <c r="G5" s="24">
        <f>COUNTIF(R11:R40,"COMPLETA")</f>
        <v>0</v>
      </c>
      <c r="J5" s="24">
        <f>COUNTIFS(R11:R40,"&lt;&gt;COMPLETA",A11:A40,"&lt;&gt;")</f>
        <v>30</v>
      </c>
      <c r="M5" s="24">
        <f>COUNTIF(T11:T40,"ROJO")</f>
        <v>0</v>
      </c>
      <c r="P5" s="26">
        <f>IFERROR(AVERAGE(S11:S40),0)</f>
        <v>0</v>
      </c>
      <c r="S5" s="27">
        <f>IFERROR(MINIFS(G11:G40,R11:R40,"&lt;&gt;COMPLETA",G11:G40,"&gt;0"),0)</f>
        <v>0</v>
      </c>
    </row>
    <row r="8">
      <c r="A8" s="4" t="s">
        <v>46</v>
      </c>
      <c r="B8" s="4" t="str">
        <f>IF(J5&gt;0,"ROJO",IF(H5&gt;0,"AMARILLO","VERDE"))</f>
        <v>ROJO</v>
      </c>
      <c r="D8" s="4" t="s">
        <v>47</v>
      </c>
      <c r="E8" s="28" t="str">
        <f>IF(B8="ROJO","Escalar órdenes vencidas",IF(B8="AMARILLO","Monitorear órdenes activas","Operación estable"))</f>
        <v>Escalar órdenes vencidas</v>
      </c>
    </row>
    <row r="10">
      <c r="A10" s="30" t="s">
        <v>32</v>
      </c>
      <c r="B10" s="30" t="s">
        <v>48</v>
      </c>
      <c r="C10" s="30" t="s">
        <v>49</v>
      </c>
      <c r="D10" s="30" t="s">
        <v>44</v>
      </c>
      <c r="E10" s="30" t="s">
        <v>33</v>
      </c>
      <c r="F10" s="30" t="s">
        <v>37</v>
      </c>
      <c r="G10" s="30" t="s">
        <v>38</v>
      </c>
      <c r="H10" s="30" t="s">
        <v>51</v>
      </c>
      <c r="I10" s="30" t="s">
        <v>52</v>
      </c>
      <c r="J10" s="30" t="s">
        <v>53</v>
      </c>
      <c r="K10" s="30" t="s">
        <v>34</v>
      </c>
      <c r="L10" s="30" t="s">
        <v>54</v>
      </c>
      <c r="M10" s="30" t="s">
        <v>55</v>
      </c>
      <c r="N10" s="30" t="s">
        <v>56</v>
      </c>
      <c r="O10" s="30" t="s">
        <v>57</v>
      </c>
      <c r="P10" s="30" t="s">
        <v>58</v>
      </c>
      <c r="Q10" s="30" t="s">
        <v>59</v>
      </c>
      <c r="R10" s="30" t="s">
        <v>60</v>
      </c>
      <c r="S10" s="30" t="s">
        <v>61</v>
      </c>
      <c r="T10" s="30" t="s">
        <v>62</v>
      </c>
      <c r="U10" s="30" t="s">
        <v>39</v>
      </c>
    </row>
    <row r="11">
      <c r="A11" s="4" t="s">
        <v>187</v>
      </c>
      <c r="E11" s="13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4" t="str">
        <f t="shared" ref="P11:P40" si="1">IF(O11&lt;&gt;"","Llega bodega",IF(N11&lt;&gt;"","Llega puerto MX",IF(M11&lt;&gt;"","Sale puerto origen",IF(L11&lt;&gt;"","Producción OK",IF(K11&lt;&gt;"","Anticipo",IF(J11&lt;&gt;"","Info empaque",IF(I11&lt;&gt;"","Aprobar",IF(H11&lt;&gt;"","Cotizar","Sin iniciar"))))))))</f>
        <v>Sin iniciar</v>
      </c>
      <c r="Q11" s="4" t="str">
        <f t="shared" ref="Q11:Q40" si="2">IF(A11="","",IF(O11&lt;&gt;"","COMPLETA",IF(M11&lt;&gt;"","EN TRÁNSITO",IF(L11&lt;&gt;"","EN PRODUCCIÓN",IF(K11&lt;&gt;"","PAGADA / EN ESPERA","EN GESTIÓN")))))</f>
        <v>EN GESTIÓN</v>
      </c>
      <c r="R11" s="15">
        <f t="shared" ref="R11:R40" si="3">COUNT(H11:O11)/8</f>
        <v>0</v>
      </c>
      <c r="S11" s="4" t="str">
        <f t="shared" ref="S11:S40" si="4">IF(A11="","",IF(O11&lt;&gt;"","VERDE",IF(AND(G11&lt;&gt;"",TODAY()&gt;G11),"ROJO",IF(COUNT(H11:O11)=0,"GRIS","AMARILLO"))))</f>
        <v>GRIS</v>
      </c>
      <c r="T11" s="35" t="str">
        <f t="shared" ref="T11:T40" si="5">IF(COUNT(H11:O11)=0,"",TODAY()-MAX(H11:O11))</f>
        <v/>
      </c>
    </row>
    <row r="12">
      <c r="A12" s="4" t="s">
        <v>188</v>
      </c>
      <c r="E12" s="13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4" t="str">
        <f t="shared" si="1"/>
        <v>Sin iniciar</v>
      </c>
      <c r="Q12" s="4" t="str">
        <f t="shared" si="2"/>
        <v>EN GESTIÓN</v>
      </c>
      <c r="R12" s="15">
        <f t="shared" si="3"/>
        <v>0</v>
      </c>
      <c r="S12" s="4" t="str">
        <f t="shared" si="4"/>
        <v>GRIS</v>
      </c>
      <c r="T12" s="35" t="str">
        <f t="shared" si="5"/>
        <v/>
      </c>
    </row>
    <row r="13">
      <c r="A13" s="4" t="s">
        <v>189</v>
      </c>
      <c r="E13" s="13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4" t="str">
        <f t="shared" si="1"/>
        <v>Sin iniciar</v>
      </c>
      <c r="Q13" s="4" t="str">
        <f t="shared" si="2"/>
        <v>EN GESTIÓN</v>
      </c>
      <c r="R13" s="15">
        <f t="shared" si="3"/>
        <v>0</v>
      </c>
      <c r="S13" s="4" t="str">
        <f t="shared" si="4"/>
        <v>GRIS</v>
      </c>
      <c r="T13" s="35" t="str">
        <f t="shared" si="5"/>
        <v/>
      </c>
    </row>
    <row r="14">
      <c r="A14" s="4" t="s">
        <v>190</v>
      </c>
      <c r="E14" s="13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4" t="str">
        <f t="shared" si="1"/>
        <v>Sin iniciar</v>
      </c>
      <c r="Q14" s="4" t="str">
        <f t="shared" si="2"/>
        <v>EN GESTIÓN</v>
      </c>
      <c r="R14" s="15">
        <f t="shared" si="3"/>
        <v>0</v>
      </c>
      <c r="S14" s="4" t="str">
        <f t="shared" si="4"/>
        <v>GRIS</v>
      </c>
      <c r="T14" s="35" t="str">
        <f t="shared" si="5"/>
        <v/>
      </c>
    </row>
    <row r="15">
      <c r="A15" s="4" t="s">
        <v>191</v>
      </c>
      <c r="E15" s="13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4" t="str">
        <f t="shared" si="1"/>
        <v>Sin iniciar</v>
      </c>
      <c r="Q15" s="4" t="str">
        <f t="shared" si="2"/>
        <v>EN GESTIÓN</v>
      </c>
      <c r="R15" s="15">
        <f t="shared" si="3"/>
        <v>0</v>
      </c>
      <c r="S15" s="4" t="str">
        <f t="shared" si="4"/>
        <v>GRIS</v>
      </c>
      <c r="T15" s="35" t="str">
        <f t="shared" si="5"/>
        <v/>
      </c>
    </row>
    <row r="16">
      <c r="A16" s="4" t="s">
        <v>192</v>
      </c>
      <c r="E16" s="13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4" t="str">
        <f t="shared" si="1"/>
        <v>Sin iniciar</v>
      </c>
      <c r="Q16" s="4" t="str">
        <f t="shared" si="2"/>
        <v>EN GESTIÓN</v>
      </c>
      <c r="R16" s="15">
        <f t="shared" si="3"/>
        <v>0</v>
      </c>
      <c r="S16" s="4" t="str">
        <f t="shared" si="4"/>
        <v>GRIS</v>
      </c>
      <c r="T16" s="35" t="str">
        <f t="shared" si="5"/>
        <v/>
      </c>
    </row>
    <row r="17">
      <c r="A17" s="4" t="s">
        <v>193</v>
      </c>
      <c r="E17" s="13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4" t="str">
        <f t="shared" si="1"/>
        <v>Sin iniciar</v>
      </c>
      <c r="Q17" s="4" t="str">
        <f t="shared" si="2"/>
        <v>EN GESTIÓN</v>
      </c>
      <c r="R17" s="15">
        <f t="shared" si="3"/>
        <v>0</v>
      </c>
      <c r="S17" s="4" t="str">
        <f t="shared" si="4"/>
        <v>GRIS</v>
      </c>
      <c r="T17" s="35" t="str">
        <f t="shared" si="5"/>
        <v/>
      </c>
    </row>
    <row r="18">
      <c r="A18" s="4" t="s">
        <v>194</v>
      </c>
      <c r="E18" s="13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4" t="str">
        <f t="shared" si="1"/>
        <v>Sin iniciar</v>
      </c>
      <c r="Q18" s="4" t="str">
        <f t="shared" si="2"/>
        <v>EN GESTIÓN</v>
      </c>
      <c r="R18" s="15">
        <f t="shared" si="3"/>
        <v>0</v>
      </c>
      <c r="S18" s="4" t="str">
        <f t="shared" si="4"/>
        <v>GRIS</v>
      </c>
      <c r="T18" s="35" t="str">
        <f t="shared" si="5"/>
        <v/>
      </c>
    </row>
    <row r="19">
      <c r="A19" s="4" t="s">
        <v>195</v>
      </c>
      <c r="E19" s="13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4" t="str">
        <f t="shared" si="1"/>
        <v>Sin iniciar</v>
      </c>
      <c r="Q19" s="4" t="str">
        <f t="shared" si="2"/>
        <v>EN GESTIÓN</v>
      </c>
      <c r="R19" s="15">
        <f t="shared" si="3"/>
        <v>0</v>
      </c>
      <c r="S19" s="4" t="str">
        <f t="shared" si="4"/>
        <v>GRIS</v>
      </c>
      <c r="T19" s="35" t="str">
        <f t="shared" si="5"/>
        <v/>
      </c>
    </row>
    <row r="20">
      <c r="A20" s="4" t="s">
        <v>196</v>
      </c>
      <c r="E20" s="13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4" t="str">
        <f t="shared" si="1"/>
        <v>Sin iniciar</v>
      </c>
      <c r="Q20" s="4" t="str">
        <f t="shared" si="2"/>
        <v>EN GESTIÓN</v>
      </c>
      <c r="R20" s="15">
        <f t="shared" si="3"/>
        <v>0</v>
      </c>
      <c r="S20" s="4" t="str">
        <f t="shared" si="4"/>
        <v>GRIS</v>
      </c>
      <c r="T20" s="35" t="str">
        <f t="shared" si="5"/>
        <v/>
      </c>
    </row>
    <row r="21" ht="15.75" customHeight="1">
      <c r="A21" s="4" t="s">
        <v>197</v>
      </c>
      <c r="E21" s="13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4" t="str">
        <f t="shared" si="1"/>
        <v>Sin iniciar</v>
      </c>
      <c r="Q21" s="4" t="str">
        <f t="shared" si="2"/>
        <v>EN GESTIÓN</v>
      </c>
      <c r="R21" s="15">
        <f t="shared" si="3"/>
        <v>0</v>
      </c>
      <c r="S21" s="4" t="str">
        <f t="shared" si="4"/>
        <v>GRIS</v>
      </c>
      <c r="T21" s="35" t="str">
        <f t="shared" si="5"/>
        <v/>
      </c>
    </row>
    <row r="22" ht="15.75" customHeight="1">
      <c r="A22" s="4" t="s">
        <v>198</v>
      </c>
      <c r="E22" s="13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4" t="str">
        <f t="shared" si="1"/>
        <v>Sin iniciar</v>
      </c>
      <c r="Q22" s="4" t="str">
        <f t="shared" si="2"/>
        <v>EN GESTIÓN</v>
      </c>
      <c r="R22" s="15">
        <f t="shared" si="3"/>
        <v>0</v>
      </c>
      <c r="S22" s="4" t="str">
        <f t="shared" si="4"/>
        <v>GRIS</v>
      </c>
      <c r="T22" s="35" t="str">
        <f t="shared" si="5"/>
        <v/>
      </c>
    </row>
    <row r="23" ht="15.75" customHeight="1">
      <c r="A23" s="4" t="s">
        <v>199</v>
      </c>
      <c r="E23" s="13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4" t="str">
        <f t="shared" si="1"/>
        <v>Sin iniciar</v>
      </c>
      <c r="Q23" s="4" t="str">
        <f t="shared" si="2"/>
        <v>EN GESTIÓN</v>
      </c>
      <c r="R23" s="15">
        <f t="shared" si="3"/>
        <v>0</v>
      </c>
      <c r="S23" s="4" t="str">
        <f t="shared" si="4"/>
        <v>GRIS</v>
      </c>
      <c r="T23" s="35" t="str">
        <f t="shared" si="5"/>
        <v/>
      </c>
    </row>
    <row r="24" ht="15.75" customHeight="1">
      <c r="A24" s="4" t="s">
        <v>200</v>
      </c>
      <c r="E24" s="13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4" t="str">
        <f t="shared" si="1"/>
        <v>Sin iniciar</v>
      </c>
      <c r="Q24" s="4" t="str">
        <f t="shared" si="2"/>
        <v>EN GESTIÓN</v>
      </c>
      <c r="R24" s="15">
        <f t="shared" si="3"/>
        <v>0</v>
      </c>
      <c r="S24" s="4" t="str">
        <f t="shared" si="4"/>
        <v>GRIS</v>
      </c>
      <c r="T24" s="35" t="str">
        <f t="shared" si="5"/>
        <v/>
      </c>
    </row>
    <row r="25" ht="15.75" customHeight="1">
      <c r="A25" s="4" t="s">
        <v>201</v>
      </c>
      <c r="E25" s="13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4" t="str">
        <f t="shared" si="1"/>
        <v>Sin iniciar</v>
      </c>
      <c r="Q25" s="4" t="str">
        <f t="shared" si="2"/>
        <v>EN GESTIÓN</v>
      </c>
      <c r="R25" s="15">
        <f t="shared" si="3"/>
        <v>0</v>
      </c>
      <c r="S25" s="4" t="str">
        <f t="shared" si="4"/>
        <v>GRIS</v>
      </c>
      <c r="T25" s="35" t="str">
        <f t="shared" si="5"/>
        <v/>
      </c>
    </row>
    <row r="26" ht="15.75" customHeight="1">
      <c r="A26" s="4" t="s">
        <v>202</v>
      </c>
      <c r="E26" s="13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4" t="str">
        <f t="shared" si="1"/>
        <v>Sin iniciar</v>
      </c>
      <c r="Q26" s="4" t="str">
        <f t="shared" si="2"/>
        <v>EN GESTIÓN</v>
      </c>
      <c r="R26" s="15">
        <f t="shared" si="3"/>
        <v>0</v>
      </c>
      <c r="S26" s="4" t="str">
        <f t="shared" si="4"/>
        <v>GRIS</v>
      </c>
      <c r="T26" s="35" t="str">
        <f t="shared" si="5"/>
        <v/>
      </c>
    </row>
    <row r="27" ht="15.75" customHeight="1">
      <c r="A27" s="4" t="s">
        <v>203</v>
      </c>
      <c r="E27" s="13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4" t="str">
        <f t="shared" si="1"/>
        <v>Sin iniciar</v>
      </c>
      <c r="Q27" s="4" t="str">
        <f t="shared" si="2"/>
        <v>EN GESTIÓN</v>
      </c>
      <c r="R27" s="15">
        <f t="shared" si="3"/>
        <v>0</v>
      </c>
      <c r="S27" s="4" t="str">
        <f t="shared" si="4"/>
        <v>GRIS</v>
      </c>
      <c r="T27" s="35" t="str">
        <f t="shared" si="5"/>
        <v/>
      </c>
    </row>
    <row r="28" ht="15.75" customHeight="1">
      <c r="A28" s="4" t="s">
        <v>204</v>
      </c>
      <c r="E28" s="13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4" t="str">
        <f t="shared" si="1"/>
        <v>Sin iniciar</v>
      </c>
      <c r="Q28" s="4" t="str">
        <f t="shared" si="2"/>
        <v>EN GESTIÓN</v>
      </c>
      <c r="R28" s="15">
        <f t="shared" si="3"/>
        <v>0</v>
      </c>
      <c r="S28" s="4" t="str">
        <f t="shared" si="4"/>
        <v>GRIS</v>
      </c>
      <c r="T28" s="35" t="str">
        <f t="shared" si="5"/>
        <v/>
      </c>
    </row>
    <row r="29" ht="15.75" customHeight="1">
      <c r="A29" s="4" t="s">
        <v>205</v>
      </c>
      <c r="E29" s="13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4" t="str">
        <f t="shared" si="1"/>
        <v>Sin iniciar</v>
      </c>
      <c r="Q29" s="4" t="str">
        <f t="shared" si="2"/>
        <v>EN GESTIÓN</v>
      </c>
      <c r="R29" s="15">
        <f t="shared" si="3"/>
        <v>0</v>
      </c>
      <c r="S29" s="4" t="str">
        <f t="shared" si="4"/>
        <v>GRIS</v>
      </c>
      <c r="T29" s="35" t="str">
        <f t="shared" si="5"/>
        <v/>
      </c>
    </row>
    <row r="30" ht="15.75" customHeight="1">
      <c r="A30" s="4" t="s">
        <v>206</v>
      </c>
      <c r="E30" s="13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4" t="str">
        <f t="shared" si="1"/>
        <v>Sin iniciar</v>
      </c>
      <c r="Q30" s="4" t="str">
        <f t="shared" si="2"/>
        <v>EN GESTIÓN</v>
      </c>
      <c r="R30" s="15">
        <f t="shared" si="3"/>
        <v>0</v>
      </c>
      <c r="S30" s="4" t="str">
        <f t="shared" si="4"/>
        <v>GRIS</v>
      </c>
      <c r="T30" s="35" t="str">
        <f t="shared" si="5"/>
        <v/>
      </c>
    </row>
    <row r="31" ht="15.75" customHeight="1">
      <c r="A31" s="4" t="s">
        <v>207</v>
      </c>
      <c r="E31" s="13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4" t="str">
        <f t="shared" si="1"/>
        <v>Sin iniciar</v>
      </c>
      <c r="Q31" s="4" t="str">
        <f t="shared" si="2"/>
        <v>EN GESTIÓN</v>
      </c>
      <c r="R31" s="15">
        <f t="shared" si="3"/>
        <v>0</v>
      </c>
      <c r="S31" s="4" t="str">
        <f t="shared" si="4"/>
        <v>GRIS</v>
      </c>
      <c r="T31" s="35" t="str">
        <f t="shared" si="5"/>
        <v/>
      </c>
    </row>
    <row r="32" ht="15.75" customHeight="1">
      <c r="A32" s="4" t="s">
        <v>208</v>
      </c>
      <c r="E32" s="13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4" t="str">
        <f t="shared" si="1"/>
        <v>Sin iniciar</v>
      </c>
      <c r="Q32" s="4" t="str">
        <f t="shared" si="2"/>
        <v>EN GESTIÓN</v>
      </c>
      <c r="R32" s="15">
        <f t="shared" si="3"/>
        <v>0</v>
      </c>
      <c r="S32" s="4" t="str">
        <f t="shared" si="4"/>
        <v>GRIS</v>
      </c>
      <c r="T32" s="35" t="str">
        <f t="shared" si="5"/>
        <v/>
      </c>
    </row>
    <row r="33" ht="15.75" customHeight="1">
      <c r="A33" s="4" t="s">
        <v>209</v>
      </c>
      <c r="E33" s="13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4" t="str">
        <f t="shared" si="1"/>
        <v>Sin iniciar</v>
      </c>
      <c r="Q33" s="4" t="str">
        <f t="shared" si="2"/>
        <v>EN GESTIÓN</v>
      </c>
      <c r="R33" s="15">
        <f t="shared" si="3"/>
        <v>0</v>
      </c>
      <c r="S33" s="4" t="str">
        <f t="shared" si="4"/>
        <v>GRIS</v>
      </c>
      <c r="T33" s="35" t="str">
        <f t="shared" si="5"/>
        <v/>
      </c>
    </row>
    <row r="34" ht="15.75" customHeight="1">
      <c r="A34" s="4" t="s">
        <v>210</v>
      </c>
      <c r="E34" s="13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4" t="str">
        <f t="shared" si="1"/>
        <v>Sin iniciar</v>
      </c>
      <c r="Q34" s="4" t="str">
        <f t="shared" si="2"/>
        <v>EN GESTIÓN</v>
      </c>
      <c r="R34" s="15">
        <f t="shared" si="3"/>
        <v>0</v>
      </c>
      <c r="S34" s="4" t="str">
        <f t="shared" si="4"/>
        <v>GRIS</v>
      </c>
      <c r="T34" s="35" t="str">
        <f t="shared" si="5"/>
        <v/>
      </c>
    </row>
    <row r="35" ht="15.75" customHeight="1">
      <c r="A35" s="4" t="s">
        <v>211</v>
      </c>
      <c r="E35" s="13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4" t="str">
        <f t="shared" si="1"/>
        <v>Sin iniciar</v>
      </c>
      <c r="Q35" s="4" t="str">
        <f t="shared" si="2"/>
        <v>EN GESTIÓN</v>
      </c>
      <c r="R35" s="15">
        <f t="shared" si="3"/>
        <v>0</v>
      </c>
      <c r="S35" s="4" t="str">
        <f t="shared" si="4"/>
        <v>GRIS</v>
      </c>
      <c r="T35" s="35" t="str">
        <f t="shared" si="5"/>
        <v/>
      </c>
    </row>
    <row r="36" ht="15.75" customHeight="1">
      <c r="A36" s="4" t="s">
        <v>212</v>
      </c>
      <c r="E36" s="13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4" t="str">
        <f t="shared" si="1"/>
        <v>Sin iniciar</v>
      </c>
      <c r="Q36" s="4" t="str">
        <f t="shared" si="2"/>
        <v>EN GESTIÓN</v>
      </c>
      <c r="R36" s="15">
        <f t="shared" si="3"/>
        <v>0</v>
      </c>
      <c r="S36" s="4" t="str">
        <f t="shared" si="4"/>
        <v>GRIS</v>
      </c>
      <c r="T36" s="35" t="str">
        <f t="shared" si="5"/>
        <v/>
      </c>
    </row>
    <row r="37" ht="15.75" customHeight="1">
      <c r="A37" s="4" t="s">
        <v>213</v>
      </c>
      <c r="E37" s="13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4" t="str">
        <f t="shared" si="1"/>
        <v>Sin iniciar</v>
      </c>
      <c r="Q37" s="4" t="str">
        <f t="shared" si="2"/>
        <v>EN GESTIÓN</v>
      </c>
      <c r="R37" s="15">
        <f t="shared" si="3"/>
        <v>0</v>
      </c>
      <c r="S37" s="4" t="str">
        <f t="shared" si="4"/>
        <v>GRIS</v>
      </c>
      <c r="T37" s="35" t="str">
        <f t="shared" si="5"/>
        <v/>
      </c>
    </row>
    <row r="38" ht="15.75" customHeight="1">
      <c r="A38" s="4" t="s">
        <v>214</v>
      </c>
      <c r="E38" s="13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4" t="str">
        <f t="shared" si="1"/>
        <v>Sin iniciar</v>
      </c>
      <c r="Q38" s="4" t="str">
        <f t="shared" si="2"/>
        <v>EN GESTIÓN</v>
      </c>
      <c r="R38" s="15">
        <f t="shared" si="3"/>
        <v>0</v>
      </c>
      <c r="S38" s="4" t="str">
        <f t="shared" si="4"/>
        <v>GRIS</v>
      </c>
      <c r="T38" s="35" t="str">
        <f t="shared" si="5"/>
        <v/>
      </c>
    </row>
    <row r="39" ht="15.75" customHeight="1">
      <c r="A39" s="4" t="s">
        <v>215</v>
      </c>
      <c r="E39" s="13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4" t="str">
        <f t="shared" si="1"/>
        <v>Sin iniciar</v>
      </c>
      <c r="Q39" s="4" t="str">
        <f t="shared" si="2"/>
        <v>EN GESTIÓN</v>
      </c>
      <c r="R39" s="15">
        <f t="shared" si="3"/>
        <v>0</v>
      </c>
      <c r="S39" s="4" t="str">
        <f t="shared" si="4"/>
        <v>GRIS</v>
      </c>
      <c r="T39" s="35" t="str">
        <f t="shared" si="5"/>
        <v/>
      </c>
    </row>
    <row r="40" ht="15.75" customHeight="1">
      <c r="A40" s="4" t="s">
        <v>216</v>
      </c>
      <c r="E40" s="13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4" t="str">
        <f t="shared" si="1"/>
        <v>Sin iniciar</v>
      </c>
      <c r="Q40" s="4" t="str">
        <f t="shared" si="2"/>
        <v>EN GESTIÓN</v>
      </c>
      <c r="R40" s="15">
        <f t="shared" si="3"/>
        <v>0</v>
      </c>
      <c r="S40" s="4" t="str">
        <f t="shared" si="4"/>
        <v>GRIS</v>
      </c>
      <c r="T40" s="35" t="str">
        <f t="shared" si="5"/>
        <v/>
      </c>
    </row>
    <row r="41" ht="15.75" customHeight="1"/>
    <row r="42" ht="15.75" customHeight="1">
      <c r="A42" s="4" t="s">
        <v>91</v>
      </c>
      <c r="B42" s="4" t="s">
        <v>92</v>
      </c>
    </row>
    <row r="43" ht="15.75" customHeight="1">
      <c r="A43" s="4" t="s">
        <v>93</v>
      </c>
      <c r="B43" s="4" t="s">
        <v>94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4:B4"/>
    <mergeCell ref="A5:B6"/>
    <mergeCell ref="D5:E6"/>
    <mergeCell ref="G5:H6"/>
    <mergeCell ref="J5:K6"/>
    <mergeCell ref="M5:N6"/>
    <mergeCell ref="P5:Q6"/>
    <mergeCell ref="S5:T6"/>
    <mergeCell ref="A1:U1"/>
    <mergeCell ref="D4:E4"/>
    <mergeCell ref="G4:H4"/>
    <mergeCell ref="J4:K4"/>
    <mergeCell ref="M4:N4"/>
    <mergeCell ref="P4:Q4"/>
    <mergeCell ref="S4:T4"/>
  </mergeCells>
  <conditionalFormatting sqref="B8">
    <cfRule type="expression" dxfId="0" priority="1">
      <formula>B8="VERDE"</formula>
    </cfRule>
  </conditionalFormatting>
  <conditionalFormatting sqref="B8">
    <cfRule type="expression" dxfId="1" priority="2">
      <formula>B8="AMARILLO"</formula>
    </cfRule>
  </conditionalFormatting>
  <conditionalFormatting sqref="B8">
    <cfRule type="expression" dxfId="2" priority="3">
      <formula>B8="ROJO"</formula>
    </cfRule>
  </conditionalFormatting>
  <conditionalFormatting sqref="H11:H40">
    <cfRule type="expression" dxfId="0" priority="4">
      <formula>H11&lt;&gt;""</formula>
    </cfRule>
  </conditionalFormatting>
  <conditionalFormatting sqref="H11:H40">
    <cfRule type="expression" dxfId="1" priority="5">
      <formula>AND($A11&lt;&gt;"",$H11="")</formula>
    </cfRule>
  </conditionalFormatting>
  <conditionalFormatting sqref="H11:H40">
    <cfRule type="expression" dxfId="3" priority="6">
      <formula>AND($A11&lt;&gt;"",H11="")</formula>
    </cfRule>
  </conditionalFormatting>
  <conditionalFormatting sqref="I11:I40">
    <cfRule type="expression" dxfId="0" priority="7">
      <formula>I11&lt;&gt;""</formula>
    </cfRule>
  </conditionalFormatting>
  <conditionalFormatting sqref="I11:I40">
    <cfRule type="expression" dxfId="1" priority="8">
      <formula>AND($H11&lt;&gt;"",$I11="")</formula>
    </cfRule>
  </conditionalFormatting>
  <conditionalFormatting sqref="I11:I40">
    <cfRule type="expression" dxfId="3" priority="9">
      <formula>AND($A11&lt;&gt;"",I11="")</formula>
    </cfRule>
  </conditionalFormatting>
  <conditionalFormatting sqref="J11:J40">
    <cfRule type="expression" dxfId="0" priority="10">
      <formula>J11&lt;&gt;""</formula>
    </cfRule>
  </conditionalFormatting>
  <conditionalFormatting sqref="J11:J40">
    <cfRule type="expression" dxfId="1" priority="11">
      <formula>AND($I11&lt;&gt;"",$J11="")</formula>
    </cfRule>
  </conditionalFormatting>
  <conditionalFormatting sqref="J11:J40">
    <cfRule type="expression" dxfId="3" priority="12">
      <formula>AND($A11&lt;&gt;"",J11="")</formula>
    </cfRule>
  </conditionalFormatting>
  <conditionalFormatting sqref="K11:K40">
    <cfRule type="expression" dxfId="0" priority="13">
      <formula>K11&lt;&gt;""</formula>
    </cfRule>
  </conditionalFormatting>
  <conditionalFormatting sqref="K11:K40">
    <cfRule type="expression" dxfId="1" priority="14">
      <formula>AND($J11&lt;&gt;"",$K11="")</formula>
    </cfRule>
  </conditionalFormatting>
  <conditionalFormatting sqref="K11:K40">
    <cfRule type="expression" dxfId="3" priority="15">
      <formula>AND($A11&lt;&gt;"",K11="")</formula>
    </cfRule>
  </conditionalFormatting>
  <conditionalFormatting sqref="L11:L40">
    <cfRule type="expression" dxfId="0" priority="16">
      <formula>L11&lt;&gt;""</formula>
    </cfRule>
  </conditionalFormatting>
  <conditionalFormatting sqref="L11:L40">
    <cfRule type="expression" dxfId="1" priority="17">
      <formula>AND($K11&lt;&gt;"",$L11="")</formula>
    </cfRule>
  </conditionalFormatting>
  <conditionalFormatting sqref="L11:L40">
    <cfRule type="expression" dxfId="3" priority="18">
      <formula>AND($A11&lt;&gt;"",L11="")</formula>
    </cfRule>
  </conditionalFormatting>
  <conditionalFormatting sqref="M11:M40">
    <cfRule type="expression" dxfId="0" priority="19">
      <formula>M11&lt;&gt;""</formula>
    </cfRule>
  </conditionalFormatting>
  <conditionalFormatting sqref="M11:M40">
    <cfRule type="expression" dxfId="1" priority="20">
      <formula>AND($L11&lt;&gt;"",$M11="")</formula>
    </cfRule>
  </conditionalFormatting>
  <conditionalFormatting sqref="M11:M40">
    <cfRule type="expression" dxfId="3" priority="21">
      <formula>AND($A11&lt;&gt;"",M11="")</formula>
    </cfRule>
  </conditionalFormatting>
  <conditionalFormatting sqref="N11:N40">
    <cfRule type="expression" dxfId="0" priority="22">
      <formula>N11&lt;&gt;""</formula>
    </cfRule>
  </conditionalFormatting>
  <conditionalFormatting sqref="N11:N40">
    <cfRule type="expression" dxfId="1" priority="23">
      <formula>AND($M11&lt;&gt;"",$N11="")</formula>
    </cfRule>
  </conditionalFormatting>
  <conditionalFormatting sqref="N11:N40">
    <cfRule type="expression" dxfId="3" priority="24">
      <formula>AND($A11&lt;&gt;"",N11="")</formula>
    </cfRule>
  </conditionalFormatting>
  <conditionalFormatting sqref="O11:O40">
    <cfRule type="expression" dxfId="0" priority="25">
      <formula>O11&lt;&gt;""</formula>
    </cfRule>
  </conditionalFormatting>
  <conditionalFormatting sqref="O11:O40">
    <cfRule type="expression" dxfId="1" priority="26">
      <formula>AND($N11&lt;&gt;"",$O11="")</formula>
    </cfRule>
  </conditionalFormatting>
  <conditionalFormatting sqref="O11:O40">
    <cfRule type="expression" dxfId="3" priority="27">
      <formula>AND($A11&lt;&gt;"",O11="")</formula>
    </cfRule>
  </conditionalFormatting>
  <conditionalFormatting sqref="T11:T40">
    <cfRule type="expression" dxfId="0" priority="28">
      <formula>T11="VERDE"</formula>
    </cfRule>
  </conditionalFormatting>
  <conditionalFormatting sqref="T11:T40">
    <cfRule type="expression" dxfId="1" priority="29">
      <formula>T11="AMARILLO"</formula>
    </cfRule>
  </conditionalFormatting>
  <conditionalFormatting sqref="T11:T40">
    <cfRule type="expression" dxfId="2" priority="30">
      <formula>T11="ROJO"</formula>
    </cfRule>
  </conditionalFormatting>
  <conditionalFormatting sqref="T11:T40">
    <cfRule type="expression" dxfId="3" priority="31">
      <formula>T11="GRIS"</formula>
    </cfRule>
  </conditionalFormatting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12.0"/>
    <col customWidth="1" min="2" max="2" width="18.0"/>
    <col customWidth="1" min="3" max="3" width="13.0"/>
    <col customWidth="1" min="4" max="5" width="14.0"/>
    <col customWidth="1" min="6" max="7" width="12.0"/>
    <col customWidth="1" min="8" max="9" width="11.0"/>
    <col customWidth="1" min="10" max="10" width="13.0"/>
    <col customWidth="1" min="11" max="11" width="11.0"/>
    <col customWidth="1" min="12" max="12" width="13.0"/>
    <col customWidth="1" min="13" max="13" width="16.0"/>
    <col customWidth="1" min="14" max="14" width="14.0"/>
    <col customWidth="1" min="15" max="15" width="13.0"/>
    <col customWidth="1" min="16" max="17" width="16.0"/>
    <col customWidth="1" min="18" max="19" width="10.0"/>
    <col customWidth="1" min="20" max="20" width="11.0"/>
    <col customWidth="1" min="21" max="21" width="24.0"/>
    <col customWidth="1" min="22" max="26" width="8.71"/>
  </cols>
  <sheetData>
    <row r="1">
      <c r="A1" s="1" t="s">
        <v>217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</row>
    <row r="3">
      <c r="A3" s="4" t="s">
        <v>9</v>
      </c>
      <c r="B3" s="20" t="s">
        <v>24</v>
      </c>
      <c r="D3" s="4" t="s">
        <v>41</v>
      </c>
      <c r="E3" s="20"/>
      <c r="G3" s="4" t="s">
        <v>42</v>
      </c>
      <c r="H3" s="20" t="s">
        <v>43</v>
      </c>
      <c r="J3" s="4" t="s">
        <v>44</v>
      </c>
      <c r="K3" s="20"/>
    </row>
    <row r="4">
      <c r="A4" s="6" t="s">
        <v>10</v>
      </c>
      <c r="B4" s="3"/>
      <c r="D4" s="6" t="s">
        <v>4</v>
      </c>
      <c r="E4" s="3"/>
      <c r="G4" s="6" t="s">
        <v>11</v>
      </c>
      <c r="H4" s="3"/>
      <c r="J4" s="6" t="s">
        <v>12</v>
      </c>
      <c r="K4" s="3"/>
      <c r="M4" s="6" t="s">
        <v>13</v>
      </c>
      <c r="N4" s="3"/>
      <c r="P4" s="6" t="s">
        <v>14</v>
      </c>
      <c r="Q4" s="3"/>
      <c r="S4" s="6" t="s">
        <v>15</v>
      </c>
      <c r="T4" s="3"/>
    </row>
    <row r="5">
      <c r="A5" s="24">
        <f>COUNTIF(A11:A40,"&lt;&gt;")</f>
        <v>30</v>
      </c>
      <c r="D5" s="25">
        <f>SUM(E11:E40)</f>
        <v>0</v>
      </c>
      <c r="G5" s="24">
        <f>COUNTIF(R11:R40,"COMPLETA")</f>
        <v>0</v>
      </c>
      <c r="J5" s="24">
        <f>COUNTIFS(R11:R40,"&lt;&gt;COMPLETA",A11:A40,"&lt;&gt;")</f>
        <v>30</v>
      </c>
      <c r="M5" s="24">
        <f>COUNTIF(T11:T40,"ROJO")</f>
        <v>0</v>
      </c>
      <c r="P5" s="26">
        <f>IFERROR(AVERAGE(S11:S40),0)</f>
        <v>0</v>
      </c>
      <c r="S5" s="27">
        <f>IFERROR(MINIFS(G11:G40,R11:R40,"&lt;&gt;COMPLETA",G11:G40,"&gt;0"),0)</f>
        <v>0</v>
      </c>
    </row>
    <row r="8">
      <c r="A8" s="4" t="s">
        <v>46</v>
      </c>
      <c r="B8" s="4" t="str">
        <f>IF(J5&gt;0,"ROJO",IF(H5&gt;0,"AMARILLO","VERDE"))</f>
        <v>ROJO</v>
      </c>
      <c r="D8" s="4" t="s">
        <v>47</v>
      </c>
      <c r="E8" s="28" t="str">
        <f>IF(B8="ROJO","Escalar órdenes vencidas",IF(B8="AMARILLO","Monitorear órdenes activas","Operación estable"))</f>
        <v>Escalar órdenes vencidas</v>
      </c>
    </row>
    <row r="10">
      <c r="A10" s="30" t="s">
        <v>32</v>
      </c>
      <c r="B10" s="30" t="s">
        <v>48</v>
      </c>
      <c r="C10" s="30" t="s">
        <v>49</v>
      </c>
      <c r="D10" s="30" t="s">
        <v>44</v>
      </c>
      <c r="E10" s="30" t="s">
        <v>33</v>
      </c>
      <c r="F10" s="30" t="s">
        <v>37</v>
      </c>
      <c r="G10" s="30" t="s">
        <v>38</v>
      </c>
      <c r="H10" s="30" t="s">
        <v>51</v>
      </c>
      <c r="I10" s="30" t="s">
        <v>52</v>
      </c>
      <c r="J10" s="30" t="s">
        <v>53</v>
      </c>
      <c r="K10" s="30" t="s">
        <v>34</v>
      </c>
      <c r="L10" s="30" t="s">
        <v>54</v>
      </c>
      <c r="M10" s="30" t="s">
        <v>55</v>
      </c>
      <c r="N10" s="30" t="s">
        <v>56</v>
      </c>
      <c r="O10" s="30" t="s">
        <v>57</v>
      </c>
      <c r="P10" s="30" t="s">
        <v>58</v>
      </c>
      <c r="Q10" s="30" t="s">
        <v>59</v>
      </c>
      <c r="R10" s="30" t="s">
        <v>60</v>
      </c>
      <c r="S10" s="30" t="s">
        <v>61</v>
      </c>
      <c r="T10" s="30" t="s">
        <v>62</v>
      </c>
      <c r="U10" s="30" t="s">
        <v>39</v>
      </c>
    </row>
    <row r="11">
      <c r="A11" s="4" t="s">
        <v>218</v>
      </c>
      <c r="E11" s="13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4" t="str">
        <f t="shared" ref="P11:P40" si="1">IF(O11&lt;&gt;"","Llega bodega",IF(N11&lt;&gt;"","Llega puerto MX",IF(M11&lt;&gt;"","Sale puerto origen",IF(L11&lt;&gt;"","Producción OK",IF(K11&lt;&gt;"","Anticipo",IF(J11&lt;&gt;"","Info empaque",IF(I11&lt;&gt;"","Aprobar",IF(H11&lt;&gt;"","Cotizar","Sin iniciar"))))))))</f>
        <v>Sin iniciar</v>
      </c>
      <c r="Q11" s="4" t="str">
        <f t="shared" ref="Q11:Q40" si="2">IF(A11="","",IF(O11&lt;&gt;"","COMPLETA",IF(M11&lt;&gt;"","EN TRÁNSITO",IF(L11&lt;&gt;"","EN PRODUCCIÓN",IF(K11&lt;&gt;"","PAGADA / EN ESPERA","EN GESTIÓN")))))</f>
        <v>EN GESTIÓN</v>
      </c>
      <c r="R11" s="15">
        <f t="shared" ref="R11:R40" si="3">COUNT(H11:O11)/8</f>
        <v>0</v>
      </c>
      <c r="S11" s="4" t="str">
        <f t="shared" ref="S11:S40" si="4">IF(A11="","",IF(O11&lt;&gt;"","VERDE",IF(AND(G11&lt;&gt;"",TODAY()&gt;G11),"ROJO",IF(COUNT(H11:O11)=0,"GRIS","AMARILLO"))))</f>
        <v>GRIS</v>
      </c>
      <c r="T11" s="35" t="str">
        <f t="shared" ref="T11:T40" si="5">IF(COUNT(H11:O11)=0,"",TODAY()-MAX(H11:O11))</f>
        <v/>
      </c>
    </row>
    <row r="12">
      <c r="A12" s="4" t="s">
        <v>219</v>
      </c>
      <c r="E12" s="13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4" t="str">
        <f t="shared" si="1"/>
        <v>Sin iniciar</v>
      </c>
      <c r="Q12" s="4" t="str">
        <f t="shared" si="2"/>
        <v>EN GESTIÓN</v>
      </c>
      <c r="R12" s="15">
        <f t="shared" si="3"/>
        <v>0</v>
      </c>
      <c r="S12" s="4" t="str">
        <f t="shared" si="4"/>
        <v>GRIS</v>
      </c>
      <c r="T12" s="35" t="str">
        <f t="shared" si="5"/>
        <v/>
      </c>
    </row>
    <row r="13">
      <c r="A13" s="4" t="s">
        <v>220</v>
      </c>
      <c r="E13" s="13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4" t="str">
        <f t="shared" si="1"/>
        <v>Sin iniciar</v>
      </c>
      <c r="Q13" s="4" t="str">
        <f t="shared" si="2"/>
        <v>EN GESTIÓN</v>
      </c>
      <c r="R13" s="15">
        <f t="shared" si="3"/>
        <v>0</v>
      </c>
      <c r="S13" s="4" t="str">
        <f t="shared" si="4"/>
        <v>GRIS</v>
      </c>
      <c r="T13" s="35" t="str">
        <f t="shared" si="5"/>
        <v/>
      </c>
    </row>
    <row r="14">
      <c r="A14" s="4" t="s">
        <v>221</v>
      </c>
      <c r="E14" s="13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4" t="str">
        <f t="shared" si="1"/>
        <v>Sin iniciar</v>
      </c>
      <c r="Q14" s="4" t="str">
        <f t="shared" si="2"/>
        <v>EN GESTIÓN</v>
      </c>
      <c r="R14" s="15">
        <f t="shared" si="3"/>
        <v>0</v>
      </c>
      <c r="S14" s="4" t="str">
        <f t="shared" si="4"/>
        <v>GRIS</v>
      </c>
      <c r="T14" s="35" t="str">
        <f t="shared" si="5"/>
        <v/>
      </c>
    </row>
    <row r="15">
      <c r="A15" s="4" t="s">
        <v>222</v>
      </c>
      <c r="E15" s="13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4" t="str">
        <f t="shared" si="1"/>
        <v>Sin iniciar</v>
      </c>
      <c r="Q15" s="4" t="str">
        <f t="shared" si="2"/>
        <v>EN GESTIÓN</v>
      </c>
      <c r="R15" s="15">
        <f t="shared" si="3"/>
        <v>0</v>
      </c>
      <c r="S15" s="4" t="str">
        <f t="shared" si="4"/>
        <v>GRIS</v>
      </c>
      <c r="T15" s="35" t="str">
        <f t="shared" si="5"/>
        <v/>
      </c>
    </row>
    <row r="16">
      <c r="A16" s="4" t="s">
        <v>223</v>
      </c>
      <c r="E16" s="13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4" t="str">
        <f t="shared" si="1"/>
        <v>Sin iniciar</v>
      </c>
      <c r="Q16" s="4" t="str">
        <f t="shared" si="2"/>
        <v>EN GESTIÓN</v>
      </c>
      <c r="R16" s="15">
        <f t="shared" si="3"/>
        <v>0</v>
      </c>
      <c r="S16" s="4" t="str">
        <f t="shared" si="4"/>
        <v>GRIS</v>
      </c>
      <c r="T16" s="35" t="str">
        <f t="shared" si="5"/>
        <v/>
      </c>
    </row>
    <row r="17">
      <c r="A17" s="4" t="s">
        <v>224</v>
      </c>
      <c r="E17" s="13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4" t="str">
        <f t="shared" si="1"/>
        <v>Sin iniciar</v>
      </c>
      <c r="Q17" s="4" t="str">
        <f t="shared" si="2"/>
        <v>EN GESTIÓN</v>
      </c>
      <c r="R17" s="15">
        <f t="shared" si="3"/>
        <v>0</v>
      </c>
      <c r="S17" s="4" t="str">
        <f t="shared" si="4"/>
        <v>GRIS</v>
      </c>
      <c r="T17" s="35" t="str">
        <f t="shared" si="5"/>
        <v/>
      </c>
    </row>
    <row r="18">
      <c r="A18" s="4" t="s">
        <v>225</v>
      </c>
      <c r="E18" s="13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4" t="str">
        <f t="shared" si="1"/>
        <v>Sin iniciar</v>
      </c>
      <c r="Q18" s="4" t="str">
        <f t="shared" si="2"/>
        <v>EN GESTIÓN</v>
      </c>
      <c r="R18" s="15">
        <f t="shared" si="3"/>
        <v>0</v>
      </c>
      <c r="S18" s="4" t="str">
        <f t="shared" si="4"/>
        <v>GRIS</v>
      </c>
      <c r="T18" s="35" t="str">
        <f t="shared" si="5"/>
        <v/>
      </c>
    </row>
    <row r="19">
      <c r="A19" s="4" t="s">
        <v>226</v>
      </c>
      <c r="E19" s="13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4" t="str">
        <f t="shared" si="1"/>
        <v>Sin iniciar</v>
      </c>
      <c r="Q19" s="4" t="str">
        <f t="shared" si="2"/>
        <v>EN GESTIÓN</v>
      </c>
      <c r="R19" s="15">
        <f t="shared" si="3"/>
        <v>0</v>
      </c>
      <c r="S19" s="4" t="str">
        <f t="shared" si="4"/>
        <v>GRIS</v>
      </c>
      <c r="T19" s="35" t="str">
        <f t="shared" si="5"/>
        <v/>
      </c>
    </row>
    <row r="20">
      <c r="A20" s="4" t="s">
        <v>227</v>
      </c>
      <c r="E20" s="13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4" t="str">
        <f t="shared" si="1"/>
        <v>Sin iniciar</v>
      </c>
      <c r="Q20" s="4" t="str">
        <f t="shared" si="2"/>
        <v>EN GESTIÓN</v>
      </c>
      <c r="R20" s="15">
        <f t="shared" si="3"/>
        <v>0</v>
      </c>
      <c r="S20" s="4" t="str">
        <f t="shared" si="4"/>
        <v>GRIS</v>
      </c>
      <c r="T20" s="35" t="str">
        <f t="shared" si="5"/>
        <v/>
      </c>
    </row>
    <row r="21" ht="15.75" customHeight="1">
      <c r="A21" s="4" t="s">
        <v>228</v>
      </c>
      <c r="E21" s="13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4" t="str">
        <f t="shared" si="1"/>
        <v>Sin iniciar</v>
      </c>
      <c r="Q21" s="4" t="str">
        <f t="shared" si="2"/>
        <v>EN GESTIÓN</v>
      </c>
      <c r="R21" s="15">
        <f t="shared" si="3"/>
        <v>0</v>
      </c>
      <c r="S21" s="4" t="str">
        <f t="shared" si="4"/>
        <v>GRIS</v>
      </c>
      <c r="T21" s="35" t="str">
        <f t="shared" si="5"/>
        <v/>
      </c>
    </row>
    <row r="22" ht="15.75" customHeight="1">
      <c r="A22" s="4" t="s">
        <v>229</v>
      </c>
      <c r="E22" s="13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4" t="str">
        <f t="shared" si="1"/>
        <v>Sin iniciar</v>
      </c>
      <c r="Q22" s="4" t="str">
        <f t="shared" si="2"/>
        <v>EN GESTIÓN</v>
      </c>
      <c r="R22" s="15">
        <f t="shared" si="3"/>
        <v>0</v>
      </c>
      <c r="S22" s="4" t="str">
        <f t="shared" si="4"/>
        <v>GRIS</v>
      </c>
      <c r="T22" s="35" t="str">
        <f t="shared" si="5"/>
        <v/>
      </c>
    </row>
    <row r="23" ht="15.75" customHeight="1">
      <c r="A23" s="4" t="s">
        <v>230</v>
      </c>
      <c r="E23" s="13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4" t="str">
        <f t="shared" si="1"/>
        <v>Sin iniciar</v>
      </c>
      <c r="Q23" s="4" t="str">
        <f t="shared" si="2"/>
        <v>EN GESTIÓN</v>
      </c>
      <c r="R23" s="15">
        <f t="shared" si="3"/>
        <v>0</v>
      </c>
      <c r="S23" s="4" t="str">
        <f t="shared" si="4"/>
        <v>GRIS</v>
      </c>
      <c r="T23" s="35" t="str">
        <f t="shared" si="5"/>
        <v/>
      </c>
    </row>
    <row r="24" ht="15.75" customHeight="1">
      <c r="A24" s="4" t="s">
        <v>231</v>
      </c>
      <c r="E24" s="13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4" t="str">
        <f t="shared" si="1"/>
        <v>Sin iniciar</v>
      </c>
      <c r="Q24" s="4" t="str">
        <f t="shared" si="2"/>
        <v>EN GESTIÓN</v>
      </c>
      <c r="R24" s="15">
        <f t="shared" si="3"/>
        <v>0</v>
      </c>
      <c r="S24" s="4" t="str">
        <f t="shared" si="4"/>
        <v>GRIS</v>
      </c>
      <c r="T24" s="35" t="str">
        <f t="shared" si="5"/>
        <v/>
      </c>
    </row>
    <row r="25" ht="15.75" customHeight="1">
      <c r="A25" s="4" t="s">
        <v>232</v>
      </c>
      <c r="E25" s="13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4" t="str">
        <f t="shared" si="1"/>
        <v>Sin iniciar</v>
      </c>
      <c r="Q25" s="4" t="str">
        <f t="shared" si="2"/>
        <v>EN GESTIÓN</v>
      </c>
      <c r="R25" s="15">
        <f t="shared" si="3"/>
        <v>0</v>
      </c>
      <c r="S25" s="4" t="str">
        <f t="shared" si="4"/>
        <v>GRIS</v>
      </c>
      <c r="T25" s="35" t="str">
        <f t="shared" si="5"/>
        <v/>
      </c>
    </row>
    <row r="26" ht="15.75" customHeight="1">
      <c r="A26" s="4" t="s">
        <v>233</v>
      </c>
      <c r="E26" s="13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4" t="str">
        <f t="shared" si="1"/>
        <v>Sin iniciar</v>
      </c>
      <c r="Q26" s="4" t="str">
        <f t="shared" si="2"/>
        <v>EN GESTIÓN</v>
      </c>
      <c r="R26" s="15">
        <f t="shared" si="3"/>
        <v>0</v>
      </c>
      <c r="S26" s="4" t="str">
        <f t="shared" si="4"/>
        <v>GRIS</v>
      </c>
      <c r="T26" s="35" t="str">
        <f t="shared" si="5"/>
        <v/>
      </c>
    </row>
    <row r="27" ht="15.75" customHeight="1">
      <c r="A27" s="4" t="s">
        <v>234</v>
      </c>
      <c r="E27" s="13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4" t="str">
        <f t="shared" si="1"/>
        <v>Sin iniciar</v>
      </c>
      <c r="Q27" s="4" t="str">
        <f t="shared" si="2"/>
        <v>EN GESTIÓN</v>
      </c>
      <c r="R27" s="15">
        <f t="shared" si="3"/>
        <v>0</v>
      </c>
      <c r="S27" s="4" t="str">
        <f t="shared" si="4"/>
        <v>GRIS</v>
      </c>
      <c r="T27" s="35" t="str">
        <f t="shared" si="5"/>
        <v/>
      </c>
    </row>
    <row r="28" ht="15.75" customHeight="1">
      <c r="A28" s="4" t="s">
        <v>235</v>
      </c>
      <c r="E28" s="13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4" t="str">
        <f t="shared" si="1"/>
        <v>Sin iniciar</v>
      </c>
      <c r="Q28" s="4" t="str">
        <f t="shared" si="2"/>
        <v>EN GESTIÓN</v>
      </c>
      <c r="R28" s="15">
        <f t="shared" si="3"/>
        <v>0</v>
      </c>
      <c r="S28" s="4" t="str">
        <f t="shared" si="4"/>
        <v>GRIS</v>
      </c>
      <c r="T28" s="35" t="str">
        <f t="shared" si="5"/>
        <v/>
      </c>
    </row>
    <row r="29" ht="15.75" customHeight="1">
      <c r="A29" s="4" t="s">
        <v>236</v>
      </c>
      <c r="E29" s="13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4" t="str">
        <f t="shared" si="1"/>
        <v>Sin iniciar</v>
      </c>
      <c r="Q29" s="4" t="str">
        <f t="shared" si="2"/>
        <v>EN GESTIÓN</v>
      </c>
      <c r="R29" s="15">
        <f t="shared" si="3"/>
        <v>0</v>
      </c>
      <c r="S29" s="4" t="str">
        <f t="shared" si="4"/>
        <v>GRIS</v>
      </c>
      <c r="T29" s="35" t="str">
        <f t="shared" si="5"/>
        <v/>
      </c>
    </row>
    <row r="30" ht="15.75" customHeight="1">
      <c r="A30" s="4" t="s">
        <v>237</v>
      </c>
      <c r="E30" s="13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4" t="str">
        <f t="shared" si="1"/>
        <v>Sin iniciar</v>
      </c>
      <c r="Q30" s="4" t="str">
        <f t="shared" si="2"/>
        <v>EN GESTIÓN</v>
      </c>
      <c r="R30" s="15">
        <f t="shared" si="3"/>
        <v>0</v>
      </c>
      <c r="S30" s="4" t="str">
        <f t="shared" si="4"/>
        <v>GRIS</v>
      </c>
      <c r="T30" s="35" t="str">
        <f t="shared" si="5"/>
        <v/>
      </c>
    </row>
    <row r="31" ht="15.75" customHeight="1">
      <c r="A31" s="4" t="s">
        <v>238</v>
      </c>
      <c r="E31" s="13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4" t="str">
        <f t="shared" si="1"/>
        <v>Sin iniciar</v>
      </c>
      <c r="Q31" s="4" t="str">
        <f t="shared" si="2"/>
        <v>EN GESTIÓN</v>
      </c>
      <c r="R31" s="15">
        <f t="shared" si="3"/>
        <v>0</v>
      </c>
      <c r="S31" s="4" t="str">
        <f t="shared" si="4"/>
        <v>GRIS</v>
      </c>
      <c r="T31" s="35" t="str">
        <f t="shared" si="5"/>
        <v/>
      </c>
    </row>
    <row r="32" ht="15.75" customHeight="1">
      <c r="A32" s="4" t="s">
        <v>239</v>
      </c>
      <c r="E32" s="13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4" t="str">
        <f t="shared" si="1"/>
        <v>Sin iniciar</v>
      </c>
      <c r="Q32" s="4" t="str">
        <f t="shared" si="2"/>
        <v>EN GESTIÓN</v>
      </c>
      <c r="R32" s="15">
        <f t="shared" si="3"/>
        <v>0</v>
      </c>
      <c r="S32" s="4" t="str">
        <f t="shared" si="4"/>
        <v>GRIS</v>
      </c>
      <c r="T32" s="35" t="str">
        <f t="shared" si="5"/>
        <v/>
      </c>
    </row>
    <row r="33" ht="15.75" customHeight="1">
      <c r="A33" s="4" t="s">
        <v>240</v>
      </c>
      <c r="E33" s="13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4" t="str">
        <f t="shared" si="1"/>
        <v>Sin iniciar</v>
      </c>
      <c r="Q33" s="4" t="str">
        <f t="shared" si="2"/>
        <v>EN GESTIÓN</v>
      </c>
      <c r="R33" s="15">
        <f t="shared" si="3"/>
        <v>0</v>
      </c>
      <c r="S33" s="4" t="str">
        <f t="shared" si="4"/>
        <v>GRIS</v>
      </c>
      <c r="T33" s="35" t="str">
        <f t="shared" si="5"/>
        <v/>
      </c>
    </row>
    <row r="34" ht="15.75" customHeight="1">
      <c r="A34" s="4" t="s">
        <v>241</v>
      </c>
      <c r="E34" s="13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4" t="str">
        <f t="shared" si="1"/>
        <v>Sin iniciar</v>
      </c>
      <c r="Q34" s="4" t="str">
        <f t="shared" si="2"/>
        <v>EN GESTIÓN</v>
      </c>
      <c r="R34" s="15">
        <f t="shared" si="3"/>
        <v>0</v>
      </c>
      <c r="S34" s="4" t="str">
        <f t="shared" si="4"/>
        <v>GRIS</v>
      </c>
      <c r="T34" s="35" t="str">
        <f t="shared" si="5"/>
        <v/>
      </c>
    </row>
    <row r="35" ht="15.75" customHeight="1">
      <c r="A35" s="4" t="s">
        <v>242</v>
      </c>
      <c r="E35" s="13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4" t="str">
        <f t="shared" si="1"/>
        <v>Sin iniciar</v>
      </c>
      <c r="Q35" s="4" t="str">
        <f t="shared" si="2"/>
        <v>EN GESTIÓN</v>
      </c>
      <c r="R35" s="15">
        <f t="shared" si="3"/>
        <v>0</v>
      </c>
      <c r="S35" s="4" t="str">
        <f t="shared" si="4"/>
        <v>GRIS</v>
      </c>
      <c r="T35" s="35" t="str">
        <f t="shared" si="5"/>
        <v/>
      </c>
    </row>
    <row r="36" ht="15.75" customHeight="1">
      <c r="A36" s="4" t="s">
        <v>243</v>
      </c>
      <c r="E36" s="13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4" t="str">
        <f t="shared" si="1"/>
        <v>Sin iniciar</v>
      </c>
      <c r="Q36" s="4" t="str">
        <f t="shared" si="2"/>
        <v>EN GESTIÓN</v>
      </c>
      <c r="R36" s="15">
        <f t="shared" si="3"/>
        <v>0</v>
      </c>
      <c r="S36" s="4" t="str">
        <f t="shared" si="4"/>
        <v>GRIS</v>
      </c>
      <c r="T36" s="35" t="str">
        <f t="shared" si="5"/>
        <v/>
      </c>
    </row>
    <row r="37" ht="15.75" customHeight="1">
      <c r="A37" s="4" t="s">
        <v>244</v>
      </c>
      <c r="E37" s="13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4" t="str">
        <f t="shared" si="1"/>
        <v>Sin iniciar</v>
      </c>
      <c r="Q37" s="4" t="str">
        <f t="shared" si="2"/>
        <v>EN GESTIÓN</v>
      </c>
      <c r="R37" s="15">
        <f t="shared" si="3"/>
        <v>0</v>
      </c>
      <c r="S37" s="4" t="str">
        <f t="shared" si="4"/>
        <v>GRIS</v>
      </c>
      <c r="T37" s="35" t="str">
        <f t="shared" si="5"/>
        <v/>
      </c>
    </row>
    <row r="38" ht="15.75" customHeight="1">
      <c r="A38" s="4" t="s">
        <v>245</v>
      </c>
      <c r="E38" s="13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4" t="str">
        <f t="shared" si="1"/>
        <v>Sin iniciar</v>
      </c>
      <c r="Q38" s="4" t="str">
        <f t="shared" si="2"/>
        <v>EN GESTIÓN</v>
      </c>
      <c r="R38" s="15">
        <f t="shared" si="3"/>
        <v>0</v>
      </c>
      <c r="S38" s="4" t="str">
        <f t="shared" si="4"/>
        <v>GRIS</v>
      </c>
      <c r="T38" s="35" t="str">
        <f t="shared" si="5"/>
        <v/>
      </c>
    </row>
    <row r="39" ht="15.75" customHeight="1">
      <c r="A39" s="4" t="s">
        <v>246</v>
      </c>
      <c r="E39" s="13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4" t="str">
        <f t="shared" si="1"/>
        <v>Sin iniciar</v>
      </c>
      <c r="Q39" s="4" t="str">
        <f t="shared" si="2"/>
        <v>EN GESTIÓN</v>
      </c>
      <c r="R39" s="15">
        <f t="shared" si="3"/>
        <v>0</v>
      </c>
      <c r="S39" s="4" t="str">
        <f t="shared" si="4"/>
        <v>GRIS</v>
      </c>
      <c r="T39" s="35" t="str">
        <f t="shared" si="5"/>
        <v/>
      </c>
    </row>
    <row r="40" ht="15.75" customHeight="1">
      <c r="A40" s="4" t="s">
        <v>247</v>
      </c>
      <c r="E40" s="13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4" t="str">
        <f t="shared" si="1"/>
        <v>Sin iniciar</v>
      </c>
      <c r="Q40" s="4" t="str">
        <f t="shared" si="2"/>
        <v>EN GESTIÓN</v>
      </c>
      <c r="R40" s="15">
        <f t="shared" si="3"/>
        <v>0</v>
      </c>
      <c r="S40" s="4" t="str">
        <f t="shared" si="4"/>
        <v>GRIS</v>
      </c>
      <c r="T40" s="35" t="str">
        <f t="shared" si="5"/>
        <v/>
      </c>
    </row>
    <row r="41" ht="15.75" customHeight="1"/>
    <row r="42" ht="15.75" customHeight="1">
      <c r="A42" s="4" t="s">
        <v>91</v>
      </c>
      <c r="B42" s="4" t="s">
        <v>92</v>
      </c>
    </row>
    <row r="43" ht="15.75" customHeight="1">
      <c r="A43" s="4" t="s">
        <v>93</v>
      </c>
      <c r="B43" s="4" t="s">
        <v>94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4:B4"/>
    <mergeCell ref="A5:B6"/>
    <mergeCell ref="D5:E6"/>
    <mergeCell ref="G5:H6"/>
    <mergeCell ref="J5:K6"/>
    <mergeCell ref="M5:N6"/>
    <mergeCell ref="P5:Q6"/>
    <mergeCell ref="S5:T6"/>
    <mergeCell ref="A1:U1"/>
    <mergeCell ref="D4:E4"/>
    <mergeCell ref="G4:H4"/>
    <mergeCell ref="J4:K4"/>
    <mergeCell ref="M4:N4"/>
    <mergeCell ref="P4:Q4"/>
    <mergeCell ref="S4:T4"/>
  </mergeCells>
  <conditionalFormatting sqref="B8">
    <cfRule type="expression" dxfId="0" priority="1">
      <formula>B8="VERDE"</formula>
    </cfRule>
  </conditionalFormatting>
  <conditionalFormatting sqref="B8">
    <cfRule type="expression" dxfId="1" priority="2">
      <formula>B8="AMARILLO"</formula>
    </cfRule>
  </conditionalFormatting>
  <conditionalFormatting sqref="B8">
    <cfRule type="expression" dxfId="2" priority="3">
      <formula>B8="ROJO"</formula>
    </cfRule>
  </conditionalFormatting>
  <conditionalFormatting sqref="H11:H40">
    <cfRule type="expression" dxfId="0" priority="4">
      <formula>H11&lt;&gt;""</formula>
    </cfRule>
  </conditionalFormatting>
  <conditionalFormatting sqref="H11:H40">
    <cfRule type="expression" dxfId="1" priority="5">
      <formula>AND($A11&lt;&gt;"",$H11="")</formula>
    </cfRule>
  </conditionalFormatting>
  <conditionalFormatting sqref="H11:H40">
    <cfRule type="expression" dxfId="3" priority="6">
      <formula>AND($A11&lt;&gt;"",H11="")</formula>
    </cfRule>
  </conditionalFormatting>
  <conditionalFormatting sqref="I11:I40">
    <cfRule type="expression" dxfId="0" priority="7">
      <formula>I11&lt;&gt;""</formula>
    </cfRule>
  </conditionalFormatting>
  <conditionalFormatting sqref="I11:I40">
    <cfRule type="expression" dxfId="1" priority="8">
      <formula>AND($H11&lt;&gt;"",$I11="")</formula>
    </cfRule>
  </conditionalFormatting>
  <conditionalFormatting sqref="I11:I40">
    <cfRule type="expression" dxfId="3" priority="9">
      <formula>AND($A11&lt;&gt;"",I11="")</formula>
    </cfRule>
  </conditionalFormatting>
  <conditionalFormatting sqref="J11:J40">
    <cfRule type="expression" dxfId="0" priority="10">
      <formula>J11&lt;&gt;""</formula>
    </cfRule>
  </conditionalFormatting>
  <conditionalFormatting sqref="J11:J40">
    <cfRule type="expression" dxfId="1" priority="11">
      <formula>AND($I11&lt;&gt;"",$J11="")</formula>
    </cfRule>
  </conditionalFormatting>
  <conditionalFormatting sqref="J11:J40">
    <cfRule type="expression" dxfId="3" priority="12">
      <formula>AND($A11&lt;&gt;"",J11="")</formula>
    </cfRule>
  </conditionalFormatting>
  <conditionalFormatting sqref="K11:K40">
    <cfRule type="expression" dxfId="0" priority="13">
      <formula>K11&lt;&gt;""</formula>
    </cfRule>
  </conditionalFormatting>
  <conditionalFormatting sqref="K11:K40">
    <cfRule type="expression" dxfId="1" priority="14">
      <formula>AND($J11&lt;&gt;"",$K11="")</formula>
    </cfRule>
  </conditionalFormatting>
  <conditionalFormatting sqref="K11:K40">
    <cfRule type="expression" dxfId="3" priority="15">
      <formula>AND($A11&lt;&gt;"",K11="")</formula>
    </cfRule>
  </conditionalFormatting>
  <conditionalFormatting sqref="L11:L40">
    <cfRule type="expression" dxfId="0" priority="16">
      <formula>L11&lt;&gt;""</formula>
    </cfRule>
  </conditionalFormatting>
  <conditionalFormatting sqref="L11:L40">
    <cfRule type="expression" dxfId="1" priority="17">
      <formula>AND($K11&lt;&gt;"",$L11="")</formula>
    </cfRule>
  </conditionalFormatting>
  <conditionalFormatting sqref="L11:L40">
    <cfRule type="expression" dxfId="3" priority="18">
      <formula>AND($A11&lt;&gt;"",L11="")</formula>
    </cfRule>
  </conditionalFormatting>
  <conditionalFormatting sqref="M11:M40">
    <cfRule type="expression" dxfId="0" priority="19">
      <formula>M11&lt;&gt;""</formula>
    </cfRule>
  </conditionalFormatting>
  <conditionalFormatting sqref="M11:M40">
    <cfRule type="expression" dxfId="1" priority="20">
      <formula>AND($L11&lt;&gt;"",$M11="")</formula>
    </cfRule>
  </conditionalFormatting>
  <conditionalFormatting sqref="M11:M40">
    <cfRule type="expression" dxfId="3" priority="21">
      <formula>AND($A11&lt;&gt;"",M11="")</formula>
    </cfRule>
  </conditionalFormatting>
  <conditionalFormatting sqref="N11:N40">
    <cfRule type="expression" dxfId="0" priority="22">
      <formula>N11&lt;&gt;""</formula>
    </cfRule>
  </conditionalFormatting>
  <conditionalFormatting sqref="N11:N40">
    <cfRule type="expression" dxfId="1" priority="23">
      <formula>AND($M11&lt;&gt;"",$N11="")</formula>
    </cfRule>
  </conditionalFormatting>
  <conditionalFormatting sqref="N11:N40">
    <cfRule type="expression" dxfId="3" priority="24">
      <formula>AND($A11&lt;&gt;"",N11="")</formula>
    </cfRule>
  </conditionalFormatting>
  <conditionalFormatting sqref="O11:O40">
    <cfRule type="expression" dxfId="0" priority="25">
      <formula>O11&lt;&gt;""</formula>
    </cfRule>
  </conditionalFormatting>
  <conditionalFormatting sqref="O11:O40">
    <cfRule type="expression" dxfId="1" priority="26">
      <formula>AND($N11&lt;&gt;"",$O11="")</formula>
    </cfRule>
  </conditionalFormatting>
  <conditionalFormatting sqref="O11:O40">
    <cfRule type="expression" dxfId="3" priority="27">
      <formula>AND($A11&lt;&gt;"",O11="")</formula>
    </cfRule>
  </conditionalFormatting>
  <conditionalFormatting sqref="T11:T40">
    <cfRule type="expression" dxfId="0" priority="28">
      <formula>T11="VERDE"</formula>
    </cfRule>
  </conditionalFormatting>
  <conditionalFormatting sqref="T11:T40">
    <cfRule type="expression" dxfId="1" priority="29">
      <formula>T11="AMARILLO"</formula>
    </cfRule>
  </conditionalFormatting>
  <conditionalFormatting sqref="T11:T40">
    <cfRule type="expression" dxfId="2" priority="30">
      <formula>T11="ROJO"</formula>
    </cfRule>
  </conditionalFormatting>
  <conditionalFormatting sqref="T11:T40">
    <cfRule type="expression" dxfId="3" priority="31">
      <formula>T11="GRIS"</formula>
    </cfRule>
  </conditionalFormatting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12.0"/>
    <col customWidth="1" min="2" max="2" width="18.0"/>
    <col customWidth="1" min="3" max="3" width="13.0"/>
    <col customWidth="1" min="4" max="5" width="14.0"/>
    <col customWidth="1" min="6" max="7" width="12.0"/>
    <col customWidth="1" min="8" max="9" width="11.0"/>
    <col customWidth="1" min="10" max="10" width="13.0"/>
    <col customWidth="1" min="11" max="11" width="11.0"/>
    <col customWidth="1" min="12" max="12" width="13.0"/>
    <col customWidth="1" min="13" max="13" width="16.0"/>
    <col customWidth="1" min="14" max="14" width="14.0"/>
    <col customWidth="1" min="15" max="15" width="13.0"/>
    <col customWidth="1" min="16" max="17" width="16.0"/>
    <col customWidth="1" min="18" max="19" width="10.0"/>
    <col customWidth="1" min="20" max="20" width="11.0"/>
    <col customWidth="1" min="21" max="21" width="24.0"/>
    <col customWidth="1" min="22" max="26" width="8.71"/>
  </cols>
  <sheetData>
    <row r="1">
      <c r="A1" s="1" t="s">
        <v>248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</row>
    <row r="3">
      <c r="A3" s="4" t="s">
        <v>9</v>
      </c>
      <c r="B3" s="20" t="s">
        <v>25</v>
      </c>
      <c r="D3" s="4" t="s">
        <v>41</v>
      </c>
      <c r="E3" s="20"/>
      <c r="G3" s="4" t="s">
        <v>42</v>
      </c>
      <c r="H3" s="20" t="s">
        <v>43</v>
      </c>
      <c r="J3" s="4" t="s">
        <v>44</v>
      </c>
      <c r="K3" s="20"/>
    </row>
    <row r="4">
      <c r="A4" s="6" t="s">
        <v>10</v>
      </c>
      <c r="B4" s="3"/>
      <c r="D4" s="6" t="s">
        <v>4</v>
      </c>
      <c r="E4" s="3"/>
      <c r="G4" s="6" t="s">
        <v>11</v>
      </c>
      <c r="H4" s="3"/>
      <c r="J4" s="6" t="s">
        <v>12</v>
      </c>
      <c r="K4" s="3"/>
      <c r="M4" s="6" t="s">
        <v>13</v>
      </c>
      <c r="N4" s="3"/>
      <c r="P4" s="6" t="s">
        <v>14</v>
      </c>
      <c r="Q4" s="3"/>
      <c r="S4" s="6" t="s">
        <v>15</v>
      </c>
      <c r="T4" s="3"/>
    </row>
    <row r="5">
      <c r="A5" s="24">
        <f>COUNTIF(A11:A40,"&lt;&gt;")</f>
        <v>30</v>
      </c>
      <c r="D5" s="25">
        <f>SUM(E11:E40)</f>
        <v>0</v>
      </c>
      <c r="G5" s="24">
        <f>COUNTIF(R11:R40,"COMPLETA")</f>
        <v>0</v>
      </c>
      <c r="J5" s="24">
        <f>COUNTIFS(R11:R40,"&lt;&gt;COMPLETA",A11:A40,"&lt;&gt;")</f>
        <v>30</v>
      </c>
      <c r="M5" s="24">
        <f>COUNTIF(T11:T40,"ROJO")</f>
        <v>0</v>
      </c>
      <c r="P5" s="26">
        <f>IFERROR(AVERAGE(S11:S40),0)</f>
        <v>0</v>
      </c>
      <c r="S5" s="27">
        <f>IFERROR(MINIFS(G11:G40,R11:R40,"&lt;&gt;COMPLETA",G11:G40,"&gt;0"),0)</f>
        <v>0</v>
      </c>
    </row>
    <row r="8">
      <c r="A8" s="4" t="s">
        <v>46</v>
      </c>
      <c r="B8" s="4" t="str">
        <f>IF(J5&gt;0,"ROJO",IF(H5&gt;0,"AMARILLO","VERDE"))</f>
        <v>ROJO</v>
      </c>
      <c r="D8" s="4" t="s">
        <v>47</v>
      </c>
      <c r="E8" s="28" t="str">
        <f>IF(B8="ROJO","Escalar órdenes vencidas",IF(B8="AMARILLO","Monitorear órdenes activas","Operación estable"))</f>
        <v>Escalar órdenes vencidas</v>
      </c>
    </row>
    <row r="10">
      <c r="A10" s="30" t="s">
        <v>32</v>
      </c>
      <c r="B10" s="30" t="s">
        <v>48</v>
      </c>
      <c r="C10" s="30" t="s">
        <v>49</v>
      </c>
      <c r="D10" s="30" t="s">
        <v>44</v>
      </c>
      <c r="E10" s="30" t="s">
        <v>33</v>
      </c>
      <c r="F10" s="30" t="s">
        <v>37</v>
      </c>
      <c r="G10" s="30" t="s">
        <v>38</v>
      </c>
      <c r="H10" s="30" t="s">
        <v>51</v>
      </c>
      <c r="I10" s="30" t="s">
        <v>52</v>
      </c>
      <c r="J10" s="30" t="s">
        <v>53</v>
      </c>
      <c r="K10" s="30" t="s">
        <v>34</v>
      </c>
      <c r="L10" s="30" t="s">
        <v>54</v>
      </c>
      <c r="M10" s="30" t="s">
        <v>55</v>
      </c>
      <c r="N10" s="30" t="s">
        <v>56</v>
      </c>
      <c r="O10" s="30" t="s">
        <v>57</v>
      </c>
      <c r="P10" s="30" t="s">
        <v>58</v>
      </c>
      <c r="Q10" s="30" t="s">
        <v>59</v>
      </c>
      <c r="R10" s="30" t="s">
        <v>60</v>
      </c>
      <c r="S10" s="30" t="s">
        <v>61</v>
      </c>
      <c r="T10" s="30" t="s">
        <v>62</v>
      </c>
      <c r="U10" s="30" t="s">
        <v>39</v>
      </c>
    </row>
    <row r="11">
      <c r="A11" s="4" t="s">
        <v>249</v>
      </c>
      <c r="E11" s="13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4" t="str">
        <f t="shared" ref="P11:P40" si="1">IF(O11&lt;&gt;"","Llega bodega",IF(N11&lt;&gt;"","Llega puerto MX",IF(M11&lt;&gt;"","Sale puerto origen",IF(L11&lt;&gt;"","Producción OK",IF(K11&lt;&gt;"","Anticipo",IF(J11&lt;&gt;"","Info empaque",IF(I11&lt;&gt;"","Aprobar",IF(H11&lt;&gt;"","Cotizar","Sin iniciar"))))))))</f>
        <v>Sin iniciar</v>
      </c>
      <c r="Q11" s="4" t="str">
        <f t="shared" ref="Q11:Q40" si="2">IF(A11="","",IF(O11&lt;&gt;"","COMPLETA",IF(M11&lt;&gt;"","EN TRÁNSITO",IF(L11&lt;&gt;"","EN PRODUCCIÓN",IF(K11&lt;&gt;"","PAGADA / EN ESPERA","EN GESTIÓN")))))</f>
        <v>EN GESTIÓN</v>
      </c>
      <c r="R11" s="15">
        <f t="shared" ref="R11:R40" si="3">COUNT(H11:O11)/8</f>
        <v>0</v>
      </c>
      <c r="S11" s="4" t="str">
        <f t="shared" ref="S11:S40" si="4">IF(A11="","",IF(O11&lt;&gt;"","VERDE",IF(AND(G11&lt;&gt;"",TODAY()&gt;G11),"ROJO",IF(COUNT(H11:O11)=0,"GRIS","AMARILLO"))))</f>
        <v>GRIS</v>
      </c>
      <c r="T11" s="35" t="str">
        <f t="shared" ref="T11:T40" si="5">IF(COUNT(H11:O11)=0,"",TODAY()-MAX(H11:O11))</f>
        <v/>
      </c>
    </row>
    <row r="12">
      <c r="A12" s="4" t="s">
        <v>250</v>
      </c>
      <c r="E12" s="13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4" t="str">
        <f t="shared" si="1"/>
        <v>Sin iniciar</v>
      </c>
      <c r="Q12" s="4" t="str">
        <f t="shared" si="2"/>
        <v>EN GESTIÓN</v>
      </c>
      <c r="R12" s="15">
        <f t="shared" si="3"/>
        <v>0</v>
      </c>
      <c r="S12" s="4" t="str">
        <f t="shared" si="4"/>
        <v>GRIS</v>
      </c>
      <c r="T12" s="35" t="str">
        <f t="shared" si="5"/>
        <v/>
      </c>
    </row>
    <row r="13">
      <c r="A13" s="4" t="s">
        <v>251</v>
      </c>
      <c r="E13" s="13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4" t="str">
        <f t="shared" si="1"/>
        <v>Sin iniciar</v>
      </c>
      <c r="Q13" s="4" t="str">
        <f t="shared" si="2"/>
        <v>EN GESTIÓN</v>
      </c>
      <c r="R13" s="15">
        <f t="shared" si="3"/>
        <v>0</v>
      </c>
      <c r="S13" s="4" t="str">
        <f t="shared" si="4"/>
        <v>GRIS</v>
      </c>
      <c r="T13" s="35" t="str">
        <f t="shared" si="5"/>
        <v/>
      </c>
    </row>
    <row r="14">
      <c r="A14" s="4" t="s">
        <v>252</v>
      </c>
      <c r="E14" s="13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4" t="str">
        <f t="shared" si="1"/>
        <v>Sin iniciar</v>
      </c>
      <c r="Q14" s="4" t="str">
        <f t="shared" si="2"/>
        <v>EN GESTIÓN</v>
      </c>
      <c r="R14" s="15">
        <f t="shared" si="3"/>
        <v>0</v>
      </c>
      <c r="S14" s="4" t="str">
        <f t="shared" si="4"/>
        <v>GRIS</v>
      </c>
      <c r="T14" s="35" t="str">
        <f t="shared" si="5"/>
        <v/>
      </c>
    </row>
    <row r="15">
      <c r="A15" s="4" t="s">
        <v>253</v>
      </c>
      <c r="E15" s="13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4" t="str">
        <f t="shared" si="1"/>
        <v>Sin iniciar</v>
      </c>
      <c r="Q15" s="4" t="str">
        <f t="shared" si="2"/>
        <v>EN GESTIÓN</v>
      </c>
      <c r="R15" s="15">
        <f t="shared" si="3"/>
        <v>0</v>
      </c>
      <c r="S15" s="4" t="str">
        <f t="shared" si="4"/>
        <v>GRIS</v>
      </c>
      <c r="T15" s="35" t="str">
        <f t="shared" si="5"/>
        <v/>
      </c>
    </row>
    <row r="16">
      <c r="A16" s="4" t="s">
        <v>254</v>
      </c>
      <c r="E16" s="13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4" t="str">
        <f t="shared" si="1"/>
        <v>Sin iniciar</v>
      </c>
      <c r="Q16" s="4" t="str">
        <f t="shared" si="2"/>
        <v>EN GESTIÓN</v>
      </c>
      <c r="R16" s="15">
        <f t="shared" si="3"/>
        <v>0</v>
      </c>
      <c r="S16" s="4" t="str">
        <f t="shared" si="4"/>
        <v>GRIS</v>
      </c>
      <c r="T16" s="35" t="str">
        <f t="shared" si="5"/>
        <v/>
      </c>
    </row>
    <row r="17">
      <c r="A17" s="4" t="s">
        <v>255</v>
      </c>
      <c r="E17" s="13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4" t="str">
        <f t="shared" si="1"/>
        <v>Sin iniciar</v>
      </c>
      <c r="Q17" s="4" t="str">
        <f t="shared" si="2"/>
        <v>EN GESTIÓN</v>
      </c>
      <c r="R17" s="15">
        <f t="shared" si="3"/>
        <v>0</v>
      </c>
      <c r="S17" s="4" t="str">
        <f t="shared" si="4"/>
        <v>GRIS</v>
      </c>
      <c r="T17" s="35" t="str">
        <f t="shared" si="5"/>
        <v/>
      </c>
    </row>
    <row r="18">
      <c r="A18" s="4" t="s">
        <v>256</v>
      </c>
      <c r="E18" s="13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4" t="str">
        <f t="shared" si="1"/>
        <v>Sin iniciar</v>
      </c>
      <c r="Q18" s="4" t="str">
        <f t="shared" si="2"/>
        <v>EN GESTIÓN</v>
      </c>
      <c r="R18" s="15">
        <f t="shared" si="3"/>
        <v>0</v>
      </c>
      <c r="S18" s="4" t="str">
        <f t="shared" si="4"/>
        <v>GRIS</v>
      </c>
      <c r="T18" s="35" t="str">
        <f t="shared" si="5"/>
        <v/>
      </c>
    </row>
    <row r="19">
      <c r="A19" s="4" t="s">
        <v>257</v>
      </c>
      <c r="E19" s="13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4" t="str">
        <f t="shared" si="1"/>
        <v>Sin iniciar</v>
      </c>
      <c r="Q19" s="4" t="str">
        <f t="shared" si="2"/>
        <v>EN GESTIÓN</v>
      </c>
      <c r="R19" s="15">
        <f t="shared" si="3"/>
        <v>0</v>
      </c>
      <c r="S19" s="4" t="str">
        <f t="shared" si="4"/>
        <v>GRIS</v>
      </c>
      <c r="T19" s="35" t="str">
        <f t="shared" si="5"/>
        <v/>
      </c>
    </row>
    <row r="20">
      <c r="A20" s="4" t="s">
        <v>258</v>
      </c>
      <c r="E20" s="13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4" t="str">
        <f t="shared" si="1"/>
        <v>Sin iniciar</v>
      </c>
      <c r="Q20" s="4" t="str">
        <f t="shared" si="2"/>
        <v>EN GESTIÓN</v>
      </c>
      <c r="R20" s="15">
        <f t="shared" si="3"/>
        <v>0</v>
      </c>
      <c r="S20" s="4" t="str">
        <f t="shared" si="4"/>
        <v>GRIS</v>
      </c>
      <c r="T20" s="35" t="str">
        <f t="shared" si="5"/>
        <v/>
      </c>
    </row>
    <row r="21" ht="15.75" customHeight="1">
      <c r="A21" s="4" t="s">
        <v>259</v>
      </c>
      <c r="E21" s="13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4" t="str">
        <f t="shared" si="1"/>
        <v>Sin iniciar</v>
      </c>
      <c r="Q21" s="4" t="str">
        <f t="shared" si="2"/>
        <v>EN GESTIÓN</v>
      </c>
      <c r="R21" s="15">
        <f t="shared" si="3"/>
        <v>0</v>
      </c>
      <c r="S21" s="4" t="str">
        <f t="shared" si="4"/>
        <v>GRIS</v>
      </c>
      <c r="T21" s="35" t="str">
        <f t="shared" si="5"/>
        <v/>
      </c>
    </row>
    <row r="22" ht="15.75" customHeight="1">
      <c r="A22" s="4" t="s">
        <v>260</v>
      </c>
      <c r="E22" s="13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4" t="str">
        <f t="shared" si="1"/>
        <v>Sin iniciar</v>
      </c>
      <c r="Q22" s="4" t="str">
        <f t="shared" si="2"/>
        <v>EN GESTIÓN</v>
      </c>
      <c r="R22" s="15">
        <f t="shared" si="3"/>
        <v>0</v>
      </c>
      <c r="S22" s="4" t="str">
        <f t="shared" si="4"/>
        <v>GRIS</v>
      </c>
      <c r="T22" s="35" t="str">
        <f t="shared" si="5"/>
        <v/>
      </c>
    </row>
    <row r="23" ht="15.75" customHeight="1">
      <c r="A23" s="4" t="s">
        <v>261</v>
      </c>
      <c r="E23" s="13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4" t="str">
        <f t="shared" si="1"/>
        <v>Sin iniciar</v>
      </c>
      <c r="Q23" s="4" t="str">
        <f t="shared" si="2"/>
        <v>EN GESTIÓN</v>
      </c>
      <c r="R23" s="15">
        <f t="shared" si="3"/>
        <v>0</v>
      </c>
      <c r="S23" s="4" t="str">
        <f t="shared" si="4"/>
        <v>GRIS</v>
      </c>
      <c r="T23" s="35" t="str">
        <f t="shared" si="5"/>
        <v/>
      </c>
    </row>
    <row r="24" ht="15.75" customHeight="1">
      <c r="A24" s="4" t="s">
        <v>262</v>
      </c>
      <c r="E24" s="13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4" t="str">
        <f t="shared" si="1"/>
        <v>Sin iniciar</v>
      </c>
      <c r="Q24" s="4" t="str">
        <f t="shared" si="2"/>
        <v>EN GESTIÓN</v>
      </c>
      <c r="R24" s="15">
        <f t="shared" si="3"/>
        <v>0</v>
      </c>
      <c r="S24" s="4" t="str">
        <f t="shared" si="4"/>
        <v>GRIS</v>
      </c>
      <c r="T24" s="35" t="str">
        <f t="shared" si="5"/>
        <v/>
      </c>
    </row>
    <row r="25" ht="15.75" customHeight="1">
      <c r="A25" s="4" t="s">
        <v>263</v>
      </c>
      <c r="E25" s="13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4" t="str">
        <f t="shared" si="1"/>
        <v>Sin iniciar</v>
      </c>
      <c r="Q25" s="4" t="str">
        <f t="shared" si="2"/>
        <v>EN GESTIÓN</v>
      </c>
      <c r="R25" s="15">
        <f t="shared" si="3"/>
        <v>0</v>
      </c>
      <c r="S25" s="4" t="str">
        <f t="shared" si="4"/>
        <v>GRIS</v>
      </c>
      <c r="T25" s="35" t="str">
        <f t="shared" si="5"/>
        <v/>
      </c>
    </row>
    <row r="26" ht="15.75" customHeight="1">
      <c r="A26" s="4" t="s">
        <v>264</v>
      </c>
      <c r="E26" s="13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4" t="str">
        <f t="shared" si="1"/>
        <v>Sin iniciar</v>
      </c>
      <c r="Q26" s="4" t="str">
        <f t="shared" si="2"/>
        <v>EN GESTIÓN</v>
      </c>
      <c r="R26" s="15">
        <f t="shared" si="3"/>
        <v>0</v>
      </c>
      <c r="S26" s="4" t="str">
        <f t="shared" si="4"/>
        <v>GRIS</v>
      </c>
      <c r="T26" s="35" t="str">
        <f t="shared" si="5"/>
        <v/>
      </c>
    </row>
    <row r="27" ht="15.75" customHeight="1">
      <c r="A27" s="4" t="s">
        <v>265</v>
      </c>
      <c r="E27" s="13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4" t="str">
        <f t="shared" si="1"/>
        <v>Sin iniciar</v>
      </c>
      <c r="Q27" s="4" t="str">
        <f t="shared" si="2"/>
        <v>EN GESTIÓN</v>
      </c>
      <c r="R27" s="15">
        <f t="shared" si="3"/>
        <v>0</v>
      </c>
      <c r="S27" s="4" t="str">
        <f t="shared" si="4"/>
        <v>GRIS</v>
      </c>
      <c r="T27" s="35" t="str">
        <f t="shared" si="5"/>
        <v/>
      </c>
    </row>
    <row r="28" ht="15.75" customHeight="1">
      <c r="A28" s="4" t="s">
        <v>266</v>
      </c>
      <c r="E28" s="13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4" t="str">
        <f t="shared" si="1"/>
        <v>Sin iniciar</v>
      </c>
      <c r="Q28" s="4" t="str">
        <f t="shared" si="2"/>
        <v>EN GESTIÓN</v>
      </c>
      <c r="R28" s="15">
        <f t="shared" si="3"/>
        <v>0</v>
      </c>
      <c r="S28" s="4" t="str">
        <f t="shared" si="4"/>
        <v>GRIS</v>
      </c>
      <c r="T28" s="35" t="str">
        <f t="shared" si="5"/>
        <v/>
      </c>
    </row>
    <row r="29" ht="15.75" customHeight="1">
      <c r="A29" s="4" t="s">
        <v>267</v>
      </c>
      <c r="E29" s="13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4" t="str">
        <f t="shared" si="1"/>
        <v>Sin iniciar</v>
      </c>
      <c r="Q29" s="4" t="str">
        <f t="shared" si="2"/>
        <v>EN GESTIÓN</v>
      </c>
      <c r="R29" s="15">
        <f t="shared" si="3"/>
        <v>0</v>
      </c>
      <c r="S29" s="4" t="str">
        <f t="shared" si="4"/>
        <v>GRIS</v>
      </c>
      <c r="T29" s="35" t="str">
        <f t="shared" si="5"/>
        <v/>
      </c>
    </row>
    <row r="30" ht="15.75" customHeight="1">
      <c r="A30" s="4" t="s">
        <v>268</v>
      </c>
      <c r="E30" s="13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4" t="str">
        <f t="shared" si="1"/>
        <v>Sin iniciar</v>
      </c>
      <c r="Q30" s="4" t="str">
        <f t="shared" si="2"/>
        <v>EN GESTIÓN</v>
      </c>
      <c r="R30" s="15">
        <f t="shared" si="3"/>
        <v>0</v>
      </c>
      <c r="S30" s="4" t="str">
        <f t="shared" si="4"/>
        <v>GRIS</v>
      </c>
      <c r="T30" s="35" t="str">
        <f t="shared" si="5"/>
        <v/>
      </c>
    </row>
    <row r="31" ht="15.75" customHeight="1">
      <c r="A31" s="4" t="s">
        <v>269</v>
      </c>
      <c r="E31" s="13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4" t="str">
        <f t="shared" si="1"/>
        <v>Sin iniciar</v>
      </c>
      <c r="Q31" s="4" t="str">
        <f t="shared" si="2"/>
        <v>EN GESTIÓN</v>
      </c>
      <c r="R31" s="15">
        <f t="shared" si="3"/>
        <v>0</v>
      </c>
      <c r="S31" s="4" t="str">
        <f t="shared" si="4"/>
        <v>GRIS</v>
      </c>
      <c r="T31" s="35" t="str">
        <f t="shared" si="5"/>
        <v/>
      </c>
    </row>
    <row r="32" ht="15.75" customHeight="1">
      <c r="A32" s="4" t="s">
        <v>270</v>
      </c>
      <c r="E32" s="13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4" t="str">
        <f t="shared" si="1"/>
        <v>Sin iniciar</v>
      </c>
      <c r="Q32" s="4" t="str">
        <f t="shared" si="2"/>
        <v>EN GESTIÓN</v>
      </c>
      <c r="R32" s="15">
        <f t="shared" si="3"/>
        <v>0</v>
      </c>
      <c r="S32" s="4" t="str">
        <f t="shared" si="4"/>
        <v>GRIS</v>
      </c>
      <c r="T32" s="35" t="str">
        <f t="shared" si="5"/>
        <v/>
      </c>
    </row>
    <row r="33" ht="15.75" customHeight="1">
      <c r="A33" s="4" t="s">
        <v>271</v>
      </c>
      <c r="E33" s="13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4" t="str">
        <f t="shared" si="1"/>
        <v>Sin iniciar</v>
      </c>
      <c r="Q33" s="4" t="str">
        <f t="shared" si="2"/>
        <v>EN GESTIÓN</v>
      </c>
      <c r="R33" s="15">
        <f t="shared" si="3"/>
        <v>0</v>
      </c>
      <c r="S33" s="4" t="str">
        <f t="shared" si="4"/>
        <v>GRIS</v>
      </c>
      <c r="T33" s="35" t="str">
        <f t="shared" si="5"/>
        <v/>
      </c>
    </row>
    <row r="34" ht="15.75" customHeight="1">
      <c r="A34" s="4" t="s">
        <v>272</v>
      </c>
      <c r="E34" s="13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4" t="str">
        <f t="shared" si="1"/>
        <v>Sin iniciar</v>
      </c>
      <c r="Q34" s="4" t="str">
        <f t="shared" si="2"/>
        <v>EN GESTIÓN</v>
      </c>
      <c r="R34" s="15">
        <f t="shared" si="3"/>
        <v>0</v>
      </c>
      <c r="S34" s="4" t="str">
        <f t="shared" si="4"/>
        <v>GRIS</v>
      </c>
      <c r="T34" s="35" t="str">
        <f t="shared" si="5"/>
        <v/>
      </c>
    </row>
    <row r="35" ht="15.75" customHeight="1">
      <c r="A35" s="4" t="s">
        <v>273</v>
      </c>
      <c r="E35" s="13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4" t="str">
        <f t="shared" si="1"/>
        <v>Sin iniciar</v>
      </c>
      <c r="Q35" s="4" t="str">
        <f t="shared" si="2"/>
        <v>EN GESTIÓN</v>
      </c>
      <c r="R35" s="15">
        <f t="shared" si="3"/>
        <v>0</v>
      </c>
      <c r="S35" s="4" t="str">
        <f t="shared" si="4"/>
        <v>GRIS</v>
      </c>
      <c r="T35" s="35" t="str">
        <f t="shared" si="5"/>
        <v/>
      </c>
    </row>
    <row r="36" ht="15.75" customHeight="1">
      <c r="A36" s="4" t="s">
        <v>274</v>
      </c>
      <c r="E36" s="13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4" t="str">
        <f t="shared" si="1"/>
        <v>Sin iniciar</v>
      </c>
      <c r="Q36" s="4" t="str">
        <f t="shared" si="2"/>
        <v>EN GESTIÓN</v>
      </c>
      <c r="R36" s="15">
        <f t="shared" si="3"/>
        <v>0</v>
      </c>
      <c r="S36" s="4" t="str">
        <f t="shared" si="4"/>
        <v>GRIS</v>
      </c>
      <c r="T36" s="35" t="str">
        <f t="shared" si="5"/>
        <v/>
      </c>
    </row>
    <row r="37" ht="15.75" customHeight="1">
      <c r="A37" s="4" t="s">
        <v>275</v>
      </c>
      <c r="E37" s="13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4" t="str">
        <f t="shared" si="1"/>
        <v>Sin iniciar</v>
      </c>
      <c r="Q37" s="4" t="str">
        <f t="shared" si="2"/>
        <v>EN GESTIÓN</v>
      </c>
      <c r="R37" s="15">
        <f t="shared" si="3"/>
        <v>0</v>
      </c>
      <c r="S37" s="4" t="str">
        <f t="shared" si="4"/>
        <v>GRIS</v>
      </c>
      <c r="T37" s="35" t="str">
        <f t="shared" si="5"/>
        <v/>
      </c>
    </row>
    <row r="38" ht="15.75" customHeight="1">
      <c r="A38" s="4" t="s">
        <v>276</v>
      </c>
      <c r="E38" s="13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4" t="str">
        <f t="shared" si="1"/>
        <v>Sin iniciar</v>
      </c>
      <c r="Q38" s="4" t="str">
        <f t="shared" si="2"/>
        <v>EN GESTIÓN</v>
      </c>
      <c r="R38" s="15">
        <f t="shared" si="3"/>
        <v>0</v>
      </c>
      <c r="S38" s="4" t="str">
        <f t="shared" si="4"/>
        <v>GRIS</v>
      </c>
      <c r="T38" s="35" t="str">
        <f t="shared" si="5"/>
        <v/>
      </c>
    </row>
    <row r="39" ht="15.75" customHeight="1">
      <c r="A39" s="4" t="s">
        <v>277</v>
      </c>
      <c r="E39" s="13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4" t="str">
        <f t="shared" si="1"/>
        <v>Sin iniciar</v>
      </c>
      <c r="Q39" s="4" t="str">
        <f t="shared" si="2"/>
        <v>EN GESTIÓN</v>
      </c>
      <c r="R39" s="15">
        <f t="shared" si="3"/>
        <v>0</v>
      </c>
      <c r="S39" s="4" t="str">
        <f t="shared" si="4"/>
        <v>GRIS</v>
      </c>
      <c r="T39" s="35" t="str">
        <f t="shared" si="5"/>
        <v/>
      </c>
    </row>
    <row r="40" ht="15.75" customHeight="1">
      <c r="A40" s="4" t="s">
        <v>278</v>
      </c>
      <c r="E40" s="13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4" t="str">
        <f t="shared" si="1"/>
        <v>Sin iniciar</v>
      </c>
      <c r="Q40" s="4" t="str">
        <f t="shared" si="2"/>
        <v>EN GESTIÓN</v>
      </c>
      <c r="R40" s="15">
        <f t="shared" si="3"/>
        <v>0</v>
      </c>
      <c r="S40" s="4" t="str">
        <f t="shared" si="4"/>
        <v>GRIS</v>
      </c>
      <c r="T40" s="35" t="str">
        <f t="shared" si="5"/>
        <v/>
      </c>
    </row>
    <row r="41" ht="15.75" customHeight="1"/>
    <row r="42" ht="15.75" customHeight="1">
      <c r="A42" s="4" t="s">
        <v>91</v>
      </c>
      <c r="B42" s="4" t="s">
        <v>92</v>
      </c>
    </row>
    <row r="43" ht="15.75" customHeight="1">
      <c r="A43" s="4" t="s">
        <v>93</v>
      </c>
      <c r="B43" s="4" t="s">
        <v>94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4:B4"/>
    <mergeCell ref="A5:B6"/>
    <mergeCell ref="D5:E6"/>
    <mergeCell ref="G5:H6"/>
    <mergeCell ref="J5:K6"/>
    <mergeCell ref="M5:N6"/>
    <mergeCell ref="P5:Q6"/>
    <mergeCell ref="S5:T6"/>
    <mergeCell ref="A1:U1"/>
    <mergeCell ref="D4:E4"/>
    <mergeCell ref="G4:H4"/>
    <mergeCell ref="J4:K4"/>
    <mergeCell ref="M4:N4"/>
    <mergeCell ref="P4:Q4"/>
    <mergeCell ref="S4:T4"/>
  </mergeCells>
  <conditionalFormatting sqref="B8">
    <cfRule type="expression" dxfId="0" priority="1">
      <formula>B8="VERDE"</formula>
    </cfRule>
  </conditionalFormatting>
  <conditionalFormatting sqref="B8">
    <cfRule type="expression" dxfId="1" priority="2">
      <formula>B8="AMARILLO"</formula>
    </cfRule>
  </conditionalFormatting>
  <conditionalFormatting sqref="B8">
    <cfRule type="expression" dxfId="2" priority="3">
      <formula>B8="ROJO"</formula>
    </cfRule>
  </conditionalFormatting>
  <conditionalFormatting sqref="H11:H40">
    <cfRule type="expression" dxfId="0" priority="4">
      <formula>H11&lt;&gt;""</formula>
    </cfRule>
  </conditionalFormatting>
  <conditionalFormatting sqref="H11:H40">
    <cfRule type="expression" dxfId="1" priority="5">
      <formula>AND($A11&lt;&gt;"",$H11="")</formula>
    </cfRule>
  </conditionalFormatting>
  <conditionalFormatting sqref="H11:H40">
    <cfRule type="expression" dxfId="3" priority="6">
      <formula>AND($A11&lt;&gt;"",H11="")</formula>
    </cfRule>
  </conditionalFormatting>
  <conditionalFormatting sqref="I11:I40">
    <cfRule type="expression" dxfId="0" priority="7">
      <formula>I11&lt;&gt;""</formula>
    </cfRule>
  </conditionalFormatting>
  <conditionalFormatting sqref="I11:I40">
    <cfRule type="expression" dxfId="1" priority="8">
      <formula>AND($H11&lt;&gt;"",$I11="")</formula>
    </cfRule>
  </conditionalFormatting>
  <conditionalFormatting sqref="I11:I40">
    <cfRule type="expression" dxfId="3" priority="9">
      <formula>AND($A11&lt;&gt;"",I11="")</formula>
    </cfRule>
  </conditionalFormatting>
  <conditionalFormatting sqref="J11:J40">
    <cfRule type="expression" dxfId="0" priority="10">
      <formula>J11&lt;&gt;""</formula>
    </cfRule>
  </conditionalFormatting>
  <conditionalFormatting sqref="J11:J40">
    <cfRule type="expression" dxfId="1" priority="11">
      <formula>AND($I11&lt;&gt;"",$J11="")</formula>
    </cfRule>
  </conditionalFormatting>
  <conditionalFormatting sqref="J11:J40">
    <cfRule type="expression" dxfId="3" priority="12">
      <formula>AND($A11&lt;&gt;"",J11="")</formula>
    </cfRule>
  </conditionalFormatting>
  <conditionalFormatting sqref="K11:K40">
    <cfRule type="expression" dxfId="0" priority="13">
      <formula>K11&lt;&gt;""</formula>
    </cfRule>
  </conditionalFormatting>
  <conditionalFormatting sqref="K11:K40">
    <cfRule type="expression" dxfId="1" priority="14">
      <formula>AND($J11&lt;&gt;"",$K11="")</formula>
    </cfRule>
  </conditionalFormatting>
  <conditionalFormatting sqref="K11:K40">
    <cfRule type="expression" dxfId="3" priority="15">
      <formula>AND($A11&lt;&gt;"",K11="")</formula>
    </cfRule>
  </conditionalFormatting>
  <conditionalFormatting sqref="L11:L40">
    <cfRule type="expression" dxfId="0" priority="16">
      <formula>L11&lt;&gt;""</formula>
    </cfRule>
  </conditionalFormatting>
  <conditionalFormatting sqref="L11:L40">
    <cfRule type="expression" dxfId="1" priority="17">
      <formula>AND($K11&lt;&gt;"",$L11="")</formula>
    </cfRule>
  </conditionalFormatting>
  <conditionalFormatting sqref="L11:L40">
    <cfRule type="expression" dxfId="3" priority="18">
      <formula>AND($A11&lt;&gt;"",L11="")</formula>
    </cfRule>
  </conditionalFormatting>
  <conditionalFormatting sqref="M11:M40">
    <cfRule type="expression" dxfId="0" priority="19">
      <formula>M11&lt;&gt;""</formula>
    </cfRule>
  </conditionalFormatting>
  <conditionalFormatting sqref="M11:M40">
    <cfRule type="expression" dxfId="1" priority="20">
      <formula>AND($L11&lt;&gt;"",$M11="")</formula>
    </cfRule>
  </conditionalFormatting>
  <conditionalFormatting sqref="M11:M40">
    <cfRule type="expression" dxfId="3" priority="21">
      <formula>AND($A11&lt;&gt;"",M11="")</formula>
    </cfRule>
  </conditionalFormatting>
  <conditionalFormatting sqref="N11:N40">
    <cfRule type="expression" dxfId="0" priority="22">
      <formula>N11&lt;&gt;""</formula>
    </cfRule>
  </conditionalFormatting>
  <conditionalFormatting sqref="N11:N40">
    <cfRule type="expression" dxfId="1" priority="23">
      <formula>AND($M11&lt;&gt;"",$N11="")</formula>
    </cfRule>
  </conditionalFormatting>
  <conditionalFormatting sqref="N11:N40">
    <cfRule type="expression" dxfId="3" priority="24">
      <formula>AND($A11&lt;&gt;"",N11="")</formula>
    </cfRule>
  </conditionalFormatting>
  <conditionalFormatting sqref="O11:O40">
    <cfRule type="expression" dxfId="0" priority="25">
      <formula>O11&lt;&gt;""</formula>
    </cfRule>
  </conditionalFormatting>
  <conditionalFormatting sqref="O11:O40">
    <cfRule type="expression" dxfId="1" priority="26">
      <formula>AND($N11&lt;&gt;"",$O11="")</formula>
    </cfRule>
  </conditionalFormatting>
  <conditionalFormatting sqref="O11:O40">
    <cfRule type="expression" dxfId="3" priority="27">
      <formula>AND($A11&lt;&gt;"",O11="")</formula>
    </cfRule>
  </conditionalFormatting>
  <conditionalFormatting sqref="T11:T40">
    <cfRule type="expression" dxfId="0" priority="28">
      <formula>T11="VERDE"</formula>
    </cfRule>
  </conditionalFormatting>
  <conditionalFormatting sqref="T11:T40">
    <cfRule type="expression" dxfId="1" priority="29">
      <formula>T11="AMARILLO"</formula>
    </cfRule>
  </conditionalFormatting>
  <conditionalFormatting sqref="T11:T40">
    <cfRule type="expression" dxfId="2" priority="30">
      <formula>T11="ROJO"</formula>
    </cfRule>
  </conditionalFormatting>
  <conditionalFormatting sqref="T11:T40">
    <cfRule type="expression" dxfId="3" priority="31">
      <formula>T11="GRIS"</formula>
    </cfRule>
  </conditionalFormatting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12.0"/>
    <col customWidth="1" min="2" max="2" width="18.0"/>
    <col customWidth="1" min="3" max="3" width="13.0"/>
    <col customWidth="1" min="4" max="5" width="14.0"/>
    <col customWidth="1" min="6" max="7" width="12.0"/>
    <col customWidth="1" min="8" max="9" width="11.0"/>
    <col customWidth="1" min="10" max="10" width="13.0"/>
    <col customWidth="1" min="11" max="11" width="11.0"/>
    <col customWidth="1" min="12" max="12" width="13.0"/>
    <col customWidth="1" min="13" max="13" width="16.0"/>
    <col customWidth="1" min="14" max="14" width="14.0"/>
    <col customWidth="1" min="15" max="15" width="13.0"/>
    <col customWidth="1" min="16" max="17" width="16.0"/>
    <col customWidth="1" min="18" max="19" width="10.0"/>
    <col customWidth="1" min="20" max="20" width="11.0"/>
    <col customWidth="1" min="21" max="21" width="24.0"/>
    <col customWidth="1" min="22" max="26" width="8.71"/>
  </cols>
  <sheetData>
    <row r="1">
      <c r="A1" s="1" t="s">
        <v>279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</row>
    <row r="3">
      <c r="A3" s="4" t="s">
        <v>9</v>
      </c>
      <c r="B3" s="20" t="s">
        <v>26</v>
      </c>
      <c r="D3" s="4" t="s">
        <v>41</v>
      </c>
      <c r="E3" s="20"/>
      <c r="G3" s="4" t="s">
        <v>42</v>
      </c>
      <c r="H3" s="20" t="s">
        <v>43</v>
      </c>
      <c r="J3" s="4" t="s">
        <v>44</v>
      </c>
      <c r="K3" s="20"/>
    </row>
    <row r="4">
      <c r="A4" s="6" t="s">
        <v>10</v>
      </c>
      <c r="B4" s="3"/>
      <c r="D4" s="6" t="s">
        <v>4</v>
      </c>
      <c r="E4" s="3"/>
      <c r="G4" s="6" t="s">
        <v>11</v>
      </c>
      <c r="H4" s="3"/>
      <c r="J4" s="6" t="s">
        <v>12</v>
      </c>
      <c r="K4" s="3"/>
      <c r="M4" s="6" t="s">
        <v>13</v>
      </c>
      <c r="N4" s="3"/>
      <c r="P4" s="6" t="s">
        <v>14</v>
      </c>
      <c r="Q4" s="3"/>
      <c r="S4" s="6" t="s">
        <v>15</v>
      </c>
      <c r="T4" s="3"/>
    </row>
    <row r="5">
      <c r="A5" s="24">
        <f>COUNTIF(A11:A40,"&lt;&gt;")</f>
        <v>30</v>
      </c>
      <c r="D5" s="25">
        <f>SUM(E11:E40)</f>
        <v>0</v>
      </c>
      <c r="G5" s="24">
        <f>COUNTIF(R11:R40,"COMPLETA")</f>
        <v>0</v>
      </c>
      <c r="J5" s="24">
        <f>COUNTIFS(R11:R40,"&lt;&gt;COMPLETA",A11:A40,"&lt;&gt;")</f>
        <v>30</v>
      </c>
      <c r="M5" s="24">
        <f>COUNTIF(T11:T40,"ROJO")</f>
        <v>0</v>
      </c>
      <c r="P5" s="26">
        <f>IFERROR(AVERAGE(S11:S40),0)</f>
        <v>0</v>
      </c>
      <c r="S5" s="27">
        <f>IFERROR(MINIFS(G11:G40,R11:R40,"&lt;&gt;COMPLETA",G11:G40,"&gt;0"),0)</f>
        <v>0</v>
      </c>
    </row>
    <row r="8">
      <c r="A8" s="4" t="s">
        <v>46</v>
      </c>
      <c r="B8" s="4" t="str">
        <f>IF(J5&gt;0,"ROJO",IF(H5&gt;0,"AMARILLO","VERDE"))</f>
        <v>ROJO</v>
      </c>
      <c r="D8" s="4" t="s">
        <v>47</v>
      </c>
      <c r="E8" s="28" t="str">
        <f>IF(B8="ROJO","Escalar órdenes vencidas",IF(B8="AMARILLO","Monitorear órdenes activas","Operación estable"))</f>
        <v>Escalar órdenes vencidas</v>
      </c>
    </row>
    <row r="10">
      <c r="A10" s="30" t="s">
        <v>32</v>
      </c>
      <c r="B10" s="30" t="s">
        <v>48</v>
      </c>
      <c r="C10" s="30" t="s">
        <v>49</v>
      </c>
      <c r="D10" s="30" t="s">
        <v>44</v>
      </c>
      <c r="E10" s="30" t="s">
        <v>33</v>
      </c>
      <c r="F10" s="30" t="s">
        <v>37</v>
      </c>
      <c r="G10" s="30" t="s">
        <v>38</v>
      </c>
      <c r="H10" s="30" t="s">
        <v>51</v>
      </c>
      <c r="I10" s="30" t="s">
        <v>52</v>
      </c>
      <c r="J10" s="30" t="s">
        <v>53</v>
      </c>
      <c r="K10" s="30" t="s">
        <v>34</v>
      </c>
      <c r="L10" s="30" t="s">
        <v>54</v>
      </c>
      <c r="M10" s="30" t="s">
        <v>55</v>
      </c>
      <c r="N10" s="30" t="s">
        <v>56</v>
      </c>
      <c r="O10" s="30" t="s">
        <v>57</v>
      </c>
      <c r="P10" s="30" t="s">
        <v>58</v>
      </c>
      <c r="Q10" s="30" t="s">
        <v>59</v>
      </c>
      <c r="R10" s="30" t="s">
        <v>60</v>
      </c>
      <c r="S10" s="30" t="s">
        <v>61</v>
      </c>
      <c r="T10" s="30" t="s">
        <v>62</v>
      </c>
      <c r="U10" s="30" t="s">
        <v>39</v>
      </c>
    </row>
    <row r="11">
      <c r="A11" s="4" t="s">
        <v>280</v>
      </c>
      <c r="E11" s="13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4" t="str">
        <f t="shared" ref="P11:P40" si="1">IF(O11&lt;&gt;"","Llega bodega",IF(N11&lt;&gt;"","Llega puerto MX",IF(M11&lt;&gt;"","Sale puerto origen",IF(L11&lt;&gt;"","Producción OK",IF(K11&lt;&gt;"","Anticipo",IF(J11&lt;&gt;"","Info empaque",IF(I11&lt;&gt;"","Aprobar",IF(H11&lt;&gt;"","Cotizar","Sin iniciar"))))))))</f>
        <v>Sin iniciar</v>
      </c>
      <c r="Q11" s="4" t="str">
        <f t="shared" ref="Q11:Q40" si="2">IF(A11="","",IF(O11&lt;&gt;"","COMPLETA",IF(M11&lt;&gt;"","EN TRÁNSITO",IF(L11&lt;&gt;"","EN PRODUCCIÓN",IF(K11&lt;&gt;"","PAGADA / EN ESPERA","EN GESTIÓN")))))</f>
        <v>EN GESTIÓN</v>
      </c>
      <c r="R11" s="15">
        <f t="shared" ref="R11:R40" si="3">COUNT(H11:O11)/8</f>
        <v>0</v>
      </c>
      <c r="S11" s="4" t="str">
        <f t="shared" ref="S11:S40" si="4">IF(A11="","",IF(O11&lt;&gt;"","VERDE",IF(AND(G11&lt;&gt;"",TODAY()&gt;G11),"ROJO",IF(COUNT(H11:O11)=0,"GRIS","AMARILLO"))))</f>
        <v>GRIS</v>
      </c>
      <c r="T11" s="35" t="str">
        <f t="shared" ref="T11:T40" si="5">IF(COUNT(H11:O11)=0,"",TODAY()-MAX(H11:O11))</f>
        <v/>
      </c>
    </row>
    <row r="12">
      <c r="A12" s="4" t="s">
        <v>281</v>
      </c>
      <c r="E12" s="13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4" t="str">
        <f t="shared" si="1"/>
        <v>Sin iniciar</v>
      </c>
      <c r="Q12" s="4" t="str">
        <f t="shared" si="2"/>
        <v>EN GESTIÓN</v>
      </c>
      <c r="R12" s="15">
        <f t="shared" si="3"/>
        <v>0</v>
      </c>
      <c r="S12" s="4" t="str">
        <f t="shared" si="4"/>
        <v>GRIS</v>
      </c>
      <c r="T12" s="35" t="str">
        <f t="shared" si="5"/>
        <v/>
      </c>
    </row>
    <row r="13">
      <c r="A13" s="4" t="s">
        <v>282</v>
      </c>
      <c r="E13" s="13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4" t="str">
        <f t="shared" si="1"/>
        <v>Sin iniciar</v>
      </c>
      <c r="Q13" s="4" t="str">
        <f t="shared" si="2"/>
        <v>EN GESTIÓN</v>
      </c>
      <c r="R13" s="15">
        <f t="shared" si="3"/>
        <v>0</v>
      </c>
      <c r="S13" s="4" t="str">
        <f t="shared" si="4"/>
        <v>GRIS</v>
      </c>
      <c r="T13" s="35" t="str">
        <f t="shared" si="5"/>
        <v/>
      </c>
    </row>
    <row r="14">
      <c r="A14" s="4" t="s">
        <v>283</v>
      </c>
      <c r="E14" s="13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4" t="str">
        <f t="shared" si="1"/>
        <v>Sin iniciar</v>
      </c>
      <c r="Q14" s="4" t="str">
        <f t="shared" si="2"/>
        <v>EN GESTIÓN</v>
      </c>
      <c r="R14" s="15">
        <f t="shared" si="3"/>
        <v>0</v>
      </c>
      <c r="S14" s="4" t="str">
        <f t="shared" si="4"/>
        <v>GRIS</v>
      </c>
      <c r="T14" s="35" t="str">
        <f t="shared" si="5"/>
        <v/>
      </c>
    </row>
    <row r="15">
      <c r="A15" s="4" t="s">
        <v>284</v>
      </c>
      <c r="E15" s="13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4" t="str">
        <f t="shared" si="1"/>
        <v>Sin iniciar</v>
      </c>
      <c r="Q15" s="4" t="str">
        <f t="shared" si="2"/>
        <v>EN GESTIÓN</v>
      </c>
      <c r="R15" s="15">
        <f t="shared" si="3"/>
        <v>0</v>
      </c>
      <c r="S15" s="4" t="str">
        <f t="shared" si="4"/>
        <v>GRIS</v>
      </c>
      <c r="T15" s="35" t="str">
        <f t="shared" si="5"/>
        <v/>
      </c>
    </row>
    <row r="16">
      <c r="A16" s="4" t="s">
        <v>285</v>
      </c>
      <c r="E16" s="13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4" t="str">
        <f t="shared" si="1"/>
        <v>Sin iniciar</v>
      </c>
      <c r="Q16" s="4" t="str">
        <f t="shared" si="2"/>
        <v>EN GESTIÓN</v>
      </c>
      <c r="R16" s="15">
        <f t="shared" si="3"/>
        <v>0</v>
      </c>
      <c r="S16" s="4" t="str">
        <f t="shared" si="4"/>
        <v>GRIS</v>
      </c>
      <c r="T16" s="35" t="str">
        <f t="shared" si="5"/>
        <v/>
      </c>
    </row>
    <row r="17">
      <c r="A17" s="4" t="s">
        <v>286</v>
      </c>
      <c r="E17" s="13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4" t="str">
        <f t="shared" si="1"/>
        <v>Sin iniciar</v>
      </c>
      <c r="Q17" s="4" t="str">
        <f t="shared" si="2"/>
        <v>EN GESTIÓN</v>
      </c>
      <c r="R17" s="15">
        <f t="shared" si="3"/>
        <v>0</v>
      </c>
      <c r="S17" s="4" t="str">
        <f t="shared" si="4"/>
        <v>GRIS</v>
      </c>
      <c r="T17" s="35" t="str">
        <f t="shared" si="5"/>
        <v/>
      </c>
    </row>
    <row r="18">
      <c r="A18" s="4" t="s">
        <v>287</v>
      </c>
      <c r="E18" s="13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4" t="str">
        <f t="shared" si="1"/>
        <v>Sin iniciar</v>
      </c>
      <c r="Q18" s="4" t="str">
        <f t="shared" si="2"/>
        <v>EN GESTIÓN</v>
      </c>
      <c r="R18" s="15">
        <f t="shared" si="3"/>
        <v>0</v>
      </c>
      <c r="S18" s="4" t="str">
        <f t="shared" si="4"/>
        <v>GRIS</v>
      </c>
      <c r="T18" s="35" t="str">
        <f t="shared" si="5"/>
        <v/>
      </c>
    </row>
    <row r="19">
      <c r="A19" s="4" t="s">
        <v>288</v>
      </c>
      <c r="E19" s="13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4" t="str">
        <f t="shared" si="1"/>
        <v>Sin iniciar</v>
      </c>
      <c r="Q19" s="4" t="str">
        <f t="shared" si="2"/>
        <v>EN GESTIÓN</v>
      </c>
      <c r="R19" s="15">
        <f t="shared" si="3"/>
        <v>0</v>
      </c>
      <c r="S19" s="4" t="str">
        <f t="shared" si="4"/>
        <v>GRIS</v>
      </c>
      <c r="T19" s="35" t="str">
        <f t="shared" si="5"/>
        <v/>
      </c>
    </row>
    <row r="20">
      <c r="A20" s="4" t="s">
        <v>289</v>
      </c>
      <c r="E20" s="13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4" t="str">
        <f t="shared" si="1"/>
        <v>Sin iniciar</v>
      </c>
      <c r="Q20" s="4" t="str">
        <f t="shared" si="2"/>
        <v>EN GESTIÓN</v>
      </c>
      <c r="R20" s="15">
        <f t="shared" si="3"/>
        <v>0</v>
      </c>
      <c r="S20" s="4" t="str">
        <f t="shared" si="4"/>
        <v>GRIS</v>
      </c>
      <c r="T20" s="35" t="str">
        <f t="shared" si="5"/>
        <v/>
      </c>
    </row>
    <row r="21" ht="15.75" customHeight="1">
      <c r="A21" s="4" t="s">
        <v>290</v>
      </c>
      <c r="E21" s="13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4" t="str">
        <f t="shared" si="1"/>
        <v>Sin iniciar</v>
      </c>
      <c r="Q21" s="4" t="str">
        <f t="shared" si="2"/>
        <v>EN GESTIÓN</v>
      </c>
      <c r="R21" s="15">
        <f t="shared" si="3"/>
        <v>0</v>
      </c>
      <c r="S21" s="4" t="str">
        <f t="shared" si="4"/>
        <v>GRIS</v>
      </c>
      <c r="T21" s="35" t="str">
        <f t="shared" si="5"/>
        <v/>
      </c>
    </row>
    <row r="22" ht="15.75" customHeight="1">
      <c r="A22" s="4" t="s">
        <v>291</v>
      </c>
      <c r="E22" s="13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4" t="str">
        <f t="shared" si="1"/>
        <v>Sin iniciar</v>
      </c>
      <c r="Q22" s="4" t="str">
        <f t="shared" si="2"/>
        <v>EN GESTIÓN</v>
      </c>
      <c r="R22" s="15">
        <f t="shared" si="3"/>
        <v>0</v>
      </c>
      <c r="S22" s="4" t="str">
        <f t="shared" si="4"/>
        <v>GRIS</v>
      </c>
      <c r="T22" s="35" t="str">
        <f t="shared" si="5"/>
        <v/>
      </c>
    </row>
    <row r="23" ht="15.75" customHeight="1">
      <c r="A23" s="4" t="s">
        <v>292</v>
      </c>
      <c r="E23" s="13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4" t="str">
        <f t="shared" si="1"/>
        <v>Sin iniciar</v>
      </c>
      <c r="Q23" s="4" t="str">
        <f t="shared" si="2"/>
        <v>EN GESTIÓN</v>
      </c>
      <c r="R23" s="15">
        <f t="shared" si="3"/>
        <v>0</v>
      </c>
      <c r="S23" s="4" t="str">
        <f t="shared" si="4"/>
        <v>GRIS</v>
      </c>
      <c r="T23" s="35" t="str">
        <f t="shared" si="5"/>
        <v/>
      </c>
    </row>
    <row r="24" ht="15.75" customHeight="1">
      <c r="A24" s="4" t="s">
        <v>293</v>
      </c>
      <c r="E24" s="13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4" t="str">
        <f t="shared" si="1"/>
        <v>Sin iniciar</v>
      </c>
      <c r="Q24" s="4" t="str">
        <f t="shared" si="2"/>
        <v>EN GESTIÓN</v>
      </c>
      <c r="R24" s="15">
        <f t="shared" si="3"/>
        <v>0</v>
      </c>
      <c r="S24" s="4" t="str">
        <f t="shared" si="4"/>
        <v>GRIS</v>
      </c>
      <c r="T24" s="35" t="str">
        <f t="shared" si="5"/>
        <v/>
      </c>
    </row>
    <row r="25" ht="15.75" customHeight="1">
      <c r="A25" s="4" t="s">
        <v>294</v>
      </c>
      <c r="E25" s="13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4" t="str">
        <f t="shared" si="1"/>
        <v>Sin iniciar</v>
      </c>
      <c r="Q25" s="4" t="str">
        <f t="shared" si="2"/>
        <v>EN GESTIÓN</v>
      </c>
      <c r="R25" s="15">
        <f t="shared" si="3"/>
        <v>0</v>
      </c>
      <c r="S25" s="4" t="str">
        <f t="shared" si="4"/>
        <v>GRIS</v>
      </c>
      <c r="T25" s="35" t="str">
        <f t="shared" si="5"/>
        <v/>
      </c>
    </row>
    <row r="26" ht="15.75" customHeight="1">
      <c r="A26" s="4" t="s">
        <v>295</v>
      </c>
      <c r="E26" s="13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4" t="str">
        <f t="shared" si="1"/>
        <v>Sin iniciar</v>
      </c>
      <c r="Q26" s="4" t="str">
        <f t="shared" si="2"/>
        <v>EN GESTIÓN</v>
      </c>
      <c r="R26" s="15">
        <f t="shared" si="3"/>
        <v>0</v>
      </c>
      <c r="S26" s="4" t="str">
        <f t="shared" si="4"/>
        <v>GRIS</v>
      </c>
      <c r="T26" s="35" t="str">
        <f t="shared" si="5"/>
        <v/>
      </c>
    </row>
    <row r="27" ht="15.75" customHeight="1">
      <c r="A27" s="4" t="s">
        <v>296</v>
      </c>
      <c r="E27" s="13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4" t="str">
        <f t="shared" si="1"/>
        <v>Sin iniciar</v>
      </c>
      <c r="Q27" s="4" t="str">
        <f t="shared" si="2"/>
        <v>EN GESTIÓN</v>
      </c>
      <c r="R27" s="15">
        <f t="shared" si="3"/>
        <v>0</v>
      </c>
      <c r="S27" s="4" t="str">
        <f t="shared" si="4"/>
        <v>GRIS</v>
      </c>
      <c r="T27" s="35" t="str">
        <f t="shared" si="5"/>
        <v/>
      </c>
    </row>
    <row r="28" ht="15.75" customHeight="1">
      <c r="A28" s="4" t="s">
        <v>297</v>
      </c>
      <c r="E28" s="13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4" t="str">
        <f t="shared" si="1"/>
        <v>Sin iniciar</v>
      </c>
      <c r="Q28" s="4" t="str">
        <f t="shared" si="2"/>
        <v>EN GESTIÓN</v>
      </c>
      <c r="R28" s="15">
        <f t="shared" si="3"/>
        <v>0</v>
      </c>
      <c r="S28" s="4" t="str">
        <f t="shared" si="4"/>
        <v>GRIS</v>
      </c>
      <c r="T28" s="35" t="str">
        <f t="shared" si="5"/>
        <v/>
      </c>
    </row>
    <row r="29" ht="15.75" customHeight="1">
      <c r="A29" s="4" t="s">
        <v>298</v>
      </c>
      <c r="E29" s="13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4" t="str">
        <f t="shared" si="1"/>
        <v>Sin iniciar</v>
      </c>
      <c r="Q29" s="4" t="str">
        <f t="shared" si="2"/>
        <v>EN GESTIÓN</v>
      </c>
      <c r="R29" s="15">
        <f t="shared" si="3"/>
        <v>0</v>
      </c>
      <c r="S29" s="4" t="str">
        <f t="shared" si="4"/>
        <v>GRIS</v>
      </c>
      <c r="T29" s="35" t="str">
        <f t="shared" si="5"/>
        <v/>
      </c>
    </row>
    <row r="30" ht="15.75" customHeight="1">
      <c r="A30" s="4" t="s">
        <v>299</v>
      </c>
      <c r="E30" s="13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4" t="str">
        <f t="shared" si="1"/>
        <v>Sin iniciar</v>
      </c>
      <c r="Q30" s="4" t="str">
        <f t="shared" si="2"/>
        <v>EN GESTIÓN</v>
      </c>
      <c r="R30" s="15">
        <f t="shared" si="3"/>
        <v>0</v>
      </c>
      <c r="S30" s="4" t="str">
        <f t="shared" si="4"/>
        <v>GRIS</v>
      </c>
      <c r="T30" s="35" t="str">
        <f t="shared" si="5"/>
        <v/>
      </c>
    </row>
    <row r="31" ht="15.75" customHeight="1">
      <c r="A31" s="4" t="s">
        <v>300</v>
      </c>
      <c r="E31" s="13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4" t="str">
        <f t="shared" si="1"/>
        <v>Sin iniciar</v>
      </c>
      <c r="Q31" s="4" t="str">
        <f t="shared" si="2"/>
        <v>EN GESTIÓN</v>
      </c>
      <c r="R31" s="15">
        <f t="shared" si="3"/>
        <v>0</v>
      </c>
      <c r="S31" s="4" t="str">
        <f t="shared" si="4"/>
        <v>GRIS</v>
      </c>
      <c r="T31" s="35" t="str">
        <f t="shared" si="5"/>
        <v/>
      </c>
    </row>
    <row r="32" ht="15.75" customHeight="1">
      <c r="A32" s="4" t="s">
        <v>301</v>
      </c>
      <c r="E32" s="13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4" t="str">
        <f t="shared" si="1"/>
        <v>Sin iniciar</v>
      </c>
      <c r="Q32" s="4" t="str">
        <f t="shared" si="2"/>
        <v>EN GESTIÓN</v>
      </c>
      <c r="R32" s="15">
        <f t="shared" si="3"/>
        <v>0</v>
      </c>
      <c r="S32" s="4" t="str">
        <f t="shared" si="4"/>
        <v>GRIS</v>
      </c>
      <c r="T32" s="35" t="str">
        <f t="shared" si="5"/>
        <v/>
      </c>
    </row>
    <row r="33" ht="15.75" customHeight="1">
      <c r="A33" s="4" t="s">
        <v>302</v>
      </c>
      <c r="E33" s="13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4" t="str">
        <f t="shared" si="1"/>
        <v>Sin iniciar</v>
      </c>
      <c r="Q33" s="4" t="str">
        <f t="shared" si="2"/>
        <v>EN GESTIÓN</v>
      </c>
      <c r="R33" s="15">
        <f t="shared" si="3"/>
        <v>0</v>
      </c>
      <c r="S33" s="4" t="str">
        <f t="shared" si="4"/>
        <v>GRIS</v>
      </c>
      <c r="T33" s="35" t="str">
        <f t="shared" si="5"/>
        <v/>
      </c>
    </row>
    <row r="34" ht="15.75" customHeight="1">
      <c r="A34" s="4" t="s">
        <v>303</v>
      </c>
      <c r="E34" s="13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4" t="str">
        <f t="shared" si="1"/>
        <v>Sin iniciar</v>
      </c>
      <c r="Q34" s="4" t="str">
        <f t="shared" si="2"/>
        <v>EN GESTIÓN</v>
      </c>
      <c r="R34" s="15">
        <f t="shared" si="3"/>
        <v>0</v>
      </c>
      <c r="S34" s="4" t="str">
        <f t="shared" si="4"/>
        <v>GRIS</v>
      </c>
      <c r="T34" s="35" t="str">
        <f t="shared" si="5"/>
        <v/>
      </c>
    </row>
    <row r="35" ht="15.75" customHeight="1">
      <c r="A35" s="4" t="s">
        <v>304</v>
      </c>
      <c r="E35" s="13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4" t="str">
        <f t="shared" si="1"/>
        <v>Sin iniciar</v>
      </c>
      <c r="Q35" s="4" t="str">
        <f t="shared" si="2"/>
        <v>EN GESTIÓN</v>
      </c>
      <c r="R35" s="15">
        <f t="shared" si="3"/>
        <v>0</v>
      </c>
      <c r="S35" s="4" t="str">
        <f t="shared" si="4"/>
        <v>GRIS</v>
      </c>
      <c r="T35" s="35" t="str">
        <f t="shared" si="5"/>
        <v/>
      </c>
    </row>
    <row r="36" ht="15.75" customHeight="1">
      <c r="A36" s="4" t="s">
        <v>305</v>
      </c>
      <c r="E36" s="13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4" t="str">
        <f t="shared" si="1"/>
        <v>Sin iniciar</v>
      </c>
      <c r="Q36" s="4" t="str">
        <f t="shared" si="2"/>
        <v>EN GESTIÓN</v>
      </c>
      <c r="R36" s="15">
        <f t="shared" si="3"/>
        <v>0</v>
      </c>
      <c r="S36" s="4" t="str">
        <f t="shared" si="4"/>
        <v>GRIS</v>
      </c>
      <c r="T36" s="35" t="str">
        <f t="shared" si="5"/>
        <v/>
      </c>
    </row>
    <row r="37" ht="15.75" customHeight="1">
      <c r="A37" s="4" t="s">
        <v>306</v>
      </c>
      <c r="E37" s="13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4" t="str">
        <f t="shared" si="1"/>
        <v>Sin iniciar</v>
      </c>
      <c r="Q37" s="4" t="str">
        <f t="shared" si="2"/>
        <v>EN GESTIÓN</v>
      </c>
      <c r="R37" s="15">
        <f t="shared" si="3"/>
        <v>0</v>
      </c>
      <c r="S37" s="4" t="str">
        <f t="shared" si="4"/>
        <v>GRIS</v>
      </c>
      <c r="T37" s="35" t="str">
        <f t="shared" si="5"/>
        <v/>
      </c>
    </row>
    <row r="38" ht="15.75" customHeight="1">
      <c r="A38" s="4" t="s">
        <v>307</v>
      </c>
      <c r="E38" s="13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4" t="str">
        <f t="shared" si="1"/>
        <v>Sin iniciar</v>
      </c>
      <c r="Q38" s="4" t="str">
        <f t="shared" si="2"/>
        <v>EN GESTIÓN</v>
      </c>
      <c r="R38" s="15">
        <f t="shared" si="3"/>
        <v>0</v>
      </c>
      <c r="S38" s="4" t="str">
        <f t="shared" si="4"/>
        <v>GRIS</v>
      </c>
      <c r="T38" s="35" t="str">
        <f t="shared" si="5"/>
        <v/>
      </c>
    </row>
    <row r="39" ht="15.75" customHeight="1">
      <c r="A39" s="4" t="s">
        <v>308</v>
      </c>
      <c r="E39" s="13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4" t="str">
        <f t="shared" si="1"/>
        <v>Sin iniciar</v>
      </c>
      <c r="Q39" s="4" t="str">
        <f t="shared" si="2"/>
        <v>EN GESTIÓN</v>
      </c>
      <c r="R39" s="15">
        <f t="shared" si="3"/>
        <v>0</v>
      </c>
      <c r="S39" s="4" t="str">
        <f t="shared" si="4"/>
        <v>GRIS</v>
      </c>
      <c r="T39" s="35" t="str">
        <f t="shared" si="5"/>
        <v/>
      </c>
    </row>
    <row r="40" ht="15.75" customHeight="1">
      <c r="A40" s="4" t="s">
        <v>309</v>
      </c>
      <c r="E40" s="13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4" t="str">
        <f t="shared" si="1"/>
        <v>Sin iniciar</v>
      </c>
      <c r="Q40" s="4" t="str">
        <f t="shared" si="2"/>
        <v>EN GESTIÓN</v>
      </c>
      <c r="R40" s="15">
        <f t="shared" si="3"/>
        <v>0</v>
      </c>
      <c r="S40" s="4" t="str">
        <f t="shared" si="4"/>
        <v>GRIS</v>
      </c>
      <c r="T40" s="35" t="str">
        <f t="shared" si="5"/>
        <v/>
      </c>
    </row>
    <row r="41" ht="15.75" customHeight="1"/>
    <row r="42" ht="15.75" customHeight="1">
      <c r="A42" s="4" t="s">
        <v>91</v>
      </c>
      <c r="B42" s="4" t="s">
        <v>92</v>
      </c>
    </row>
    <row r="43" ht="15.75" customHeight="1">
      <c r="A43" s="4" t="s">
        <v>93</v>
      </c>
      <c r="B43" s="4" t="s">
        <v>94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4:B4"/>
    <mergeCell ref="A5:B6"/>
    <mergeCell ref="D5:E6"/>
    <mergeCell ref="G5:H6"/>
    <mergeCell ref="J5:K6"/>
    <mergeCell ref="M5:N6"/>
    <mergeCell ref="P5:Q6"/>
    <mergeCell ref="S5:T6"/>
    <mergeCell ref="A1:U1"/>
    <mergeCell ref="D4:E4"/>
    <mergeCell ref="G4:H4"/>
    <mergeCell ref="J4:K4"/>
    <mergeCell ref="M4:N4"/>
    <mergeCell ref="P4:Q4"/>
    <mergeCell ref="S4:T4"/>
  </mergeCells>
  <conditionalFormatting sqref="B8">
    <cfRule type="expression" dxfId="0" priority="1">
      <formula>B8="VERDE"</formula>
    </cfRule>
  </conditionalFormatting>
  <conditionalFormatting sqref="B8">
    <cfRule type="expression" dxfId="1" priority="2">
      <formula>B8="AMARILLO"</formula>
    </cfRule>
  </conditionalFormatting>
  <conditionalFormatting sqref="B8">
    <cfRule type="expression" dxfId="2" priority="3">
      <formula>B8="ROJO"</formula>
    </cfRule>
  </conditionalFormatting>
  <conditionalFormatting sqref="H11:H40">
    <cfRule type="expression" dxfId="0" priority="4">
      <formula>H11&lt;&gt;""</formula>
    </cfRule>
  </conditionalFormatting>
  <conditionalFormatting sqref="H11:H40">
    <cfRule type="expression" dxfId="1" priority="5">
      <formula>AND($A11&lt;&gt;"",$H11="")</formula>
    </cfRule>
  </conditionalFormatting>
  <conditionalFormatting sqref="H11:H40">
    <cfRule type="expression" dxfId="3" priority="6">
      <formula>AND($A11&lt;&gt;"",H11="")</formula>
    </cfRule>
  </conditionalFormatting>
  <conditionalFormatting sqref="I11:I40">
    <cfRule type="expression" dxfId="0" priority="7">
      <formula>I11&lt;&gt;""</formula>
    </cfRule>
  </conditionalFormatting>
  <conditionalFormatting sqref="I11:I40">
    <cfRule type="expression" dxfId="1" priority="8">
      <formula>AND($H11&lt;&gt;"",$I11="")</formula>
    </cfRule>
  </conditionalFormatting>
  <conditionalFormatting sqref="I11:I40">
    <cfRule type="expression" dxfId="3" priority="9">
      <formula>AND($A11&lt;&gt;"",I11="")</formula>
    </cfRule>
  </conditionalFormatting>
  <conditionalFormatting sqref="J11:J40">
    <cfRule type="expression" dxfId="0" priority="10">
      <formula>J11&lt;&gt;""</formula>
    </cfRule>
  </conditionalFormatting>
  <conditionalFormatting sqref="J11:J40">
    <cfRule type="expression" dxfId="1" priority="11">
      <formula>AND($I11&lt;&gt;"",$J11="")</formula>
    </cfRule>
  </conditionalFormatting>
  <conditionalFormatting sqref="J11:J40">
    <cfRule type="expression" dxfId="3" priority="12">
      <formula>AND($A11&lt;&gt;"",J11="")</formula>
    </cfRule>
  </conditionalFormatting>
  <conditionalFormatting sqref="K11:K40">
    <cfRule type="expression" dxfId="0" priority="13">
      <formula>K11&lt;&gt;""</formula>
    </cfRule>
  </conditionalFormatting>
  <conditionalFormatting sqref="K11:K40">
    <cfRule type="expression" dxfId="1" priority="14">
      <formula>AND($J11&lt;&gt;"",$K11="")</formula>
    </cfRule>
  </conditionalFormatting>
  <conditionalFormatting sqref="K11:K40">
    <cfRule type="expression" dxfId="3" priority="15">
      <formula>AND($A11&lt;&gt;"",K11="")</formula>
    </cfRule>
  </conditionalFormatting>
  <conditionalFormatting sqref="L11:L40">
    <cfRule type="expression" dxfId="0" priority="16">
      <formula>L11&lt;&gt;""</formula>
    </cfRule>
  </conditionalFormatting>
  <conditionalFormatting sqref="L11:L40">
    <cfRule type="expression" dxfId="1" priority="17">
      <formula>AND($K11&lt;&gt;"",$L11="")</formula>
    </cfRule>
  </conditionalFormatting>
  <conditionalFormatting sqref="L11:L40">
    <cfRule type="expression" dxfId="3" priority="18">
      <formula>AND($A11&lt;&gt;"",L11="")</formula>
    </cfRule>
  </conditionalFormatting>
  <conditionalFormatting sqref="M11:M40">
    <cfRule type="expression" dxfId="0" priority="19">
      <formula>M11&lt;&gt;""</formula>
    </cfRule>
  </conditionalFormatting>
  <conditionalFormatting sqref="M11:M40">
    <cfRule type="expression" dxfId="1" priority="20">
      <formula>AND($L11&lt;&gt;"",$M11="")</formula>
    </cfRule>
  </conditionalFormatting>
  <conditionalFormatting sqref="M11:M40">
    <cfRule type="expression" dxfId="3" priority="21">
      <formula>AND($A11&lt;&gt;"",M11="")</formula>
    </cfRule>
  </conditionalFormatting>
  <conditionalFormatting sqref="N11:N40">
    <cfRule type="expression" dxfId="0" priority="22">
      <formula>N11&lt;&gt;""</formula>
    </cfRule>
  </conditionalFormatting>
  <conditionalFormatting sqref="N11:N40">
    <cfRule type="expression" dxfId="1" priority="23">
      <formula>AND($M11&lt;&gt;"",$N11="")</formula>
    </cfRule>
  </conditionalFormatting>
  <conditionalFormatting sqref="N11:N40">
    <cfRule type="expression" dxfId="3" priority="24">
      <formula>AND($A11&lt;&gt;"",N11="")</formula>
    </cfRule>
  </conditionalFormatting>
  <conditionalFormatting sqref="O11:O40">
    <cfRule type="expression" dxfId="0" priority="25">
      <formula>O11&lt;&gt;""</formula>
    </cfRule>
  </conditionalFormatting>
  <conditionalFormatting sqref="O11:O40">
    <cfRule type="expression" dxfId="1" priority="26">
      <formula>AND($N11&lt;&gt;"",$O11="")</formula>
    </cfRule>
  </conditionalFormatting>
  <conditionalFormatting sqref="O11:O40">
    <cfRule type="expression" dxfId="3" priority="27">
      <formula>AND($A11&lt;&gt;"",O11="")</formula>
    </cfRule>
  </conditionalFormatting>
  <conditionalFormatting sqref="T11:T40">
    <cfRule type="expression" dxfId="0" priority="28">
      <formula>T11="VERDE"</formula>
    </cfRule>
  </conditionalFormatting>
  <conditionalFormatting sqref="T11:T40">
    <cfRule type="expression" dxfId="1" priority="29">
      <formula>T11="AMARILLO"</formula>
    </cfRule>
  </conditionalFormatting>
  <conditionalFormatting sqref="T11:T40">
    <cfRule type="expression" dxfId="2" priority="30">
      <formula>T11="ROJO"</formula>
    </cfRule>
  </conditionalFormatting>
  <conditionalFormatting sqref="T11:T40">
    <cfRule type="expression" dxfId="3" priority="31">
      <formula>T11="GRIS"</formula>
    </cfRule>
  </conditionalFormatting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12.0"/>
    <col customWidth="1" min="2" max="2" width="18.0"/>
    <col customWidth="1" min="3" max="3" width="13.0"/>
    <col customWidth="1" min="4" max="5" width="14.0"/>
    <col customWidth="1" min="6" max="7" width="12.0"/>
    <col customWidth="1" min="8" max="9" width="11.0"/>
    <col customWidth="1" min="10" max="10" width="13.0"/>
    <col customWidth="1" min="11" max="11" width="11.0"/>
    <col customWidth="1" min="12" max="12" width="13.0"/>
    <col customWidth="1" min="13" max="13" width="16.0"/>
    <col customWidth="1" min="14" max="14" width="14.0"/>
    <col customWidth="1" min="15" max="15" width="13.0"/>
    <col customWidth="1" min="16" max="17" width="16.0"/>
    <col customWidth="1" min="18" max="19" width="10.0"/>
    <col customWidth="1" min="20" max="20" width="11.0"/>
    <col customWidth="1" min="21" max="21" width="24.0"/>
    <col customWidth="1" min="22" max="26" width="8.71"/>
  </cols>
  <sheetData>
    <row r="1">
      <c r="A1" s="1" t="s">
        <v>310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</row>
    <row r="3">
      <c r="A3" s="4" t="s">
        <v>9</v>
      </c>
      <c r="B3" s="20" t="s">
        <v>27</v>
      </c>
      <c r="D3" s="4" t="s">
        <v>41</v>
      </c>
      <c r="E3" s="20"/>
      <c r="G3" s="4" t="s">
        <v>42</v>
      </c>
      <c r="H3" s="20" t="s">
        <v>43</v>
      </c>
      <c r="J3" s="4" t="s">
        <v>44</v>
      </c>
      <c r="K3" s="20"/>
    </row>
    <row r="4">
      <c r="A4" s="6" t="s">
        <v>10</v>
      </c>
      <c r="B4" s="3"/>
      <c r="D4" s="6" t="s">
        <v>4</v>
      </c>
      <c r="E4" s="3"/>
      <c r="G4" s="6" t="s">
        <v>11</v>
      </c>
      <c r="H4" s="3"/>
      <c r="J4" s="6" t="s">
        <v>12</v>
      </c>
      <c r="K4" s="3"/>
      <c r="M4" s="6" t="s">
        <v>13</v>
      </c>
      <c r="N4" s="3"/>
      <c r="P4" s="6" t="s">
        <v>14</v>
      </c>
      <c r="Q4" s="3"/>
      <c r="S4" s="6" t="s">
        <v>15</v>
      </c>
      <c r="T4" s="3"/>
    </row>
    <row r="5">
      <c r="A5" s="24">
        <f>COUNTIF(A11:A40,"&lt;&gt;")</f>
        <v>30</v>
      </c>
      <c r="D5" s="25">
        <f>SUM(E11:E40)</f>
        <v>0</v>
      </c>
      <c r="G5" s="24">
        <f>COUNTIF(R11:R40,"COMPLETA")</f>
        <v>0</v>
      </c>
      <c r="J5" s="24">
        <f>COUNTIFS(R11:R40,"&lt;&gt;COMPLETA",A11:A40,"&lt;&gt;")</f>
        <v>30</v>
      </c>
      <c r="M5" s="24">
        <f>COUNTIF(T11:T40,"ROJO")</f>
        <v>0</v>
      </c>
      <c r="P5" s="26">
        <f>IFERROR(AVERAGE(S11:S40),0)</f>
        <v>0</v>
      </c>
      <c r="S5" s="27">
        <f>IFERROR(MINIFS(G11:G40,R11:R40,"&lt;&gt;COMPLETA",G11:G40,"&gt;0"),0)</f>
        <v>0</v>
      </c>
    </row>
    <row r="8">
      <c r="A8" s="4" t="s">
        <v>46</v>
      </c>
      <c r="B8" s="4" t="str">
        <f>IF(J5&gt;0,"ROJO",IF(H5&gt;0,"AMARILLO","VERDE"))</f>
        <v>ROJO</v>
      </c>
      <c r="D8" s="4" t="s">
        <v>47</v>
      </c>
      <c r="E8" s="28" t="str">
        <f>IF(B8="ROJO","Escalar órdenes vencidas",IF(B8="AMARILLO","Monitorear órdenes activas","Operación estable"))</f>
        <v>Escalar órdenes vencidas</v>
      </c>
    </row>
    <row r="10">
      <c r="A10" s="30" t="s">
        <v>32</v>
      </c>
      <c r="B10" s="30" t="s">
        <v>48</v>
      </c>
      <c r="C10" s="30" t="s">
        <v>49</v>
      </c>
      <c r="D10" s="30" t="s">
        <v>44</v>
      </c>
      <c r="E10" s="30" t="s">
        <v>33</v>
      </c>
      <c r="F10" s="30" t="s">
        <v>37</v>
      </c>
      <c r="G10" s="30" t="s">
        <v>38</v>
      </c>
      <c r="H10" s="30" t="s">
        <v>51</v>
      </c>
      <c r="I10" s="30" t="s">
        <v>52</v>
      </c>
      <c r="J10" s="30" t="s">
        <v>53</v>
      </c>
      <c r="K10" s="30" t="s">
        <v>34</v>
      </c>
      <c r="L10" s="30" t="s">
        <v>54</v>
      </c>
      <c r="M10" s="30" t="s">
        <v>55</v>
      </c>
      <c r="N10" s="30" t="s">
        <v>56</v>
      </c>
      <c r="O10" s="30" t="s">
        <v>57</v>
      </c>
      <c r="P10" s="30" t="s">
        <v>58</v>
      </c>
      <c r="Q10" s="30" t="s">
        <v>59</v>
      </c>
      <c r="R10" s="30" t="s">
        <v>60</v>
      </c>
      <c r="S10" s="30" t="s">
        <v>61</v>
      </c>
      <c r="T10" s="30" t="s">
        <v>62</v>
      </c>
      <c r="U10" s="30" t="s">
        <v>39</v>
      </c>
    </row>
    <row r="11">
      <c r="A11" s="4" t="s">
        <v>311</v>
      </c>
      <c r="E11" s="13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4" t="str">
        <f t="shared" ref="P11:P40" si="1">IF(O11&lt;&gt;"","Llega bodega",IF(N11&lt;&gt;"","Llega puerto MX",IF(M11&lt;&gt;"","Sale puerto origen",IF(L11&lt;&gt;"","Producción OK",IF(K11&lt;&gt;"","Anticipo",IF(J11&lt;&gt;"","Info empaque",IF(I11&lt;&gt;"","Aprobar",IF(H11&lt;&gt;"","Cotizar","Sin iniciar"))))))))</f>
        <v>Sin iniciar</v>
      </c>
      <c r="Q11" s="4" t="str">
        <f t="shared" ref="Q11:Q40" si="2">IF(A11="","",IF(O11&lt;&gt;"","COMPLETA",IF(M11&lt;&gt;"","EN TRÁNSITO",IF(L11&lt;&gt;"","EN PRODUCCIÓN",IF(K11&lt;&gt;"","PAGADA / EN ESPERA","EN GESTIÓN")))))</f>
        <v>EN GESTIÓN</v>
      </c>
      <c r="R11" s="15">
        <f t="shared" ref="R11:R40" si="3">COUNT(H11:O11)/8</f>
        <v>0</v>
      </c>
      <c r="S11" s="4" t="str">
        <f t="shared" ref="S11:S40" si="4">IF(A11="","",IF(O11&lt;&gt;"","VERDE",IF(AND(G11&lt;&gt;"",TODAY()&gt;G11),"ROJO",IF(COUNT(H11:O11)=0,"GRIS","AMARILLO"))))</f>
        <v>GRIS</v>
      </c>
      <c r="T11" s="35" t="str">
        <f t="shared" ref="T11:T40" si="5">IF(COUNT(H11:O11)=0,"",TODAY()-MAX(H11:O11))</f>
        <v/>
      </c>
    </row>
    <row r="12">
      <c r="A12" s="4" t="s">
        <v>312</v>
      </c>
      <c r="E12" s="13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4" t="str">
        <f t="shared" si="1"/>
        <v>Sin iniciar</v>
      </c>
      <c r="Q12" s="4" t="str">
        <f t="shared" si="2"/>
        <v>EN GESTIÓN</v>
      </c>
      <c r="R12" s="15">
        <f t="shared" si="3"/>
        <v>0</v>
      </c>
      <c r="S12" s="4" t="str">
        <f t="shared" si="4"/>
        <v>GRIS</v>
      </c>
      <c r="T12" s="35" t="str">
        <f t="shared" si="5"/>
        <v/>
      </c>
    </row>
    <row r="13">
      <c r="A13" s="4" t="s">
        <v>313</v>
      </c>
      <c r="E13" s="13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4" t="str">
        <f t="shared" si="1"/>
        <v>Sin iniciar</v>
      </c>
      <c r="Q13" s="4" t="str">
        <f t="shared" si="2"/>
        <v>EN GESTIÓN</v>
      </c>
      <c r="R13" s="15">
        <f t="shared" si="3"/>
        <v>0</v>
      </c>
      <c r="S13" s="4" t="str">
        <f t="shared" si="4"/>
        <v>GRIS</v>
      </c>
      <c r="T13" s="35" t="str">
        <f t="shared" si="5"/>
        <v/>
      </c>
    </row>
    <row r="14">
      <c r="A14" s="4" t="s">
        <v>314</v>
      </c>
      <c r="E14" s="13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4" t="str">
        <f t="shared" si="1"/>
        <v>Sin iniciar</v>
      </c>
      <c r="Q14" s="4" t="str">
        <f t="shared" si="2"/>
        <v>EN GESTIÓN</v>
      </c>
      <c r="R14" s="15">
        <f t="shared" si="3"/>
        <v>0</v>
      </c>
      <c r="S14" s="4" t="str">
        <f t="shared" si="4"/>
        <v>GRIS</v>
      </c>
      <c r="T14" s="35" t="str">
        <f t="shared" si="5"/>
        <v/>
      </c>
    </row>
    <row r="15">
      <c r="A15" s="4" t="s">
        <v>315</v>
      </c>
      <c r="E15" s="13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4" t="str">
        <f t="shared" si="1"/>
        <v>Sin iniciar</v>
      </c>
      <c r="Q15" s="4" t="str">
        <f t="shared" si="2"/>
        <v>EN GESTIÓN</v>
      </c>
      <c r="R15" s="15">
        <f t="shared" si="3"/>
        <v>0</v>
      </c>
      <c r="S15" s="4" t="str">
        <f t="shared" si="4"/>
        <v>GRIS</v>
      </c>
      <c r="T15" s="35" t="str">
        <f t="shared" si="5"/>
        <v/>
      </c>
    </row>
    <row r="16">
      <c r="A16" s="4" t="s">
        <v>316</v>
      </c>
      <c r="E16" s="13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4" t="str">
        <f t="shared" si="1"/>
        <v>Sin iniciar</v>
      </c>
      <c r="Q16" s="4" t="str">
        <f t="shared" si="2"/>
        <v>EN GESTIÓN</v>
      </c>
      <c r="R16" s="15">
        <f t="shared" si="3"/>
        <v>0</v>
      </c>
      <c r="S16" s="4" t="str">
        <f t="shared" si="4"/>
        <v>GRIS</v>
      </c>
      <c r="T16" s="35" t="str">
        <f t="shared" si="5"/>
        <v/>
      </c>
    </row>
    <row r="17">
      <c r="A17" s="4" t="s">
        <v>317</v>
      </c>
      <c r="E17" s="13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4" t="str">
        <f t="shared" si="1"/>
        <v>Sin iniciar</v>
      </c>
      <c r="Q17" s="4" t="str">
        <f t="shared" si="2"/>
        <v>EN GESTIÓN</v>
      </c>
      <c r="R17" s="15">
        <f t="shared" si="3"/>
        <v>0</v>
      </c>
      <c r="S17" s="4" t="str">
        <f t="shared" si="4"/>
        <v>GRIS</v>
      </c>
      <c r="T17" s="35" t="str">
        <f t="shared" si="5"/>
        <v/>
      </c>
    </row>
    <row r="18">
      <c r="A18" s="4" t="s">
        <v>318</v>
      </c>
      <c r="E18" s="13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4" t="str">
        <f t="shared" si="1"/>
        <v>Sin iniciar</v>
      </c>
      <c r="Q18" s="4" t="str">
        <f t="shared" si="2"/>
        <v>EN GESTIÓN</v>
      </c>
      <c r="R18" s="15">
        <f t="shared" si="3"/>
        <v>0</v>
      </c>
      <c r="S18" s="4" t="str">
        <f t="shared" si="4"/>
        <v>GRIS</v>
      </c>
      <c r="T18" s="35" t="str">
        <f t="shared" si="5"/>
        <v/>
      </c>
    </row>
    <row r="19">
      <c r="A19" s="4" t="s">
        <v>319</v>
      </c>
      <c r="E19" s="13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4" t="str">
        <f t="shared" si="1"/>
        <v>Sin iniciar</v>
      </c>
      <c r="Q19" s="4" t="str">
        <f t="shared" si="2"/>
        <v>EN GESTIÓN</v>
      </c>
      <c r="R19" s="15">
        <f t="shared" si="3"/>
        <v>0</v>
      </c>
      <c r="S19" s="4" t="str">
        <f t="shared" si="4"/>
        <v>GRIS</v>
      </c>
      <c r="T19" s="35" t="str">
        <f t="shared" si="5"/>
        <v/>
      </c>
    </row>
    <row r="20">
      <c r="A20" s="4" t="s">
        <v>320</v>
      </c>
      <c r="E20" s="13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4" t="str">
        <f t="shared" si="1"/>
        <v>Sin iniciar</v>
      </c>
      <c r="Q20" s="4" t="str">
        <f t="shared" si="2"/>
        <v>EN GESTIÓN</v>
      </c>
      <c r="R20" s="15">
        <f t="shared" si="3"/>
        <v>0</v>
      </c>
      <c r="S20" s="4" t="str">
        <f t="shared" si="4"/>
        <v>GRIS</v>
      </c>
      <c r="T20" s="35" t="str">
        <f t="shared" si="5"/>
        <v/>
      </c>
    </row>
    <row r="21" ht="15.75" customHeight="1">
      <c r="A21" s="4" t="s">
        <v>321</v>
      </c>
      <c r="E21" s="13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4" t="str">
        <f t="shared" si="1"/>
        <v>Sin iniciar</v>
      </c>
      <c r="Q21" s="4" t="str">
        <f t="shared" si="2"/>
        <v>EN GESTIÓN</v>
      </c>
      <c r="R21" s="15">
        <f t="shared" si="3"/>
        <v>0</v>
      </c>
      <c r="S21" s="4" t="str">
        <f t="shared" si="4"/>
        <v>GRIS</v>
      </c>
      <c r="T21" s="35" t="str">
        <f t="shared" si="5"/>
        <v/>
      </c>
    </row>
    <row r="22" ht="15.75" customHeight="1">
      <c r="A22" s="4" t="s">
        <v>322</v>
      </c>
      <c r="E22" s="13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4" t="str">
        <f t="shared" si="1"/>
        <v>Sin iniciar</v>
      </c>
      <c r="Q22" s="4" t="str">
        <f t="shared" si="2"/>
        <v>EN GESTIÓN</v>
      </c>
      <c r="R22" s="15">
        <f t="shared" si="3"/>
        <v>0</v>
      </c>
      <c r="S22" s="4" t="str">
        <f t="shared" si="4"/>
        <v>GRIS</v>
      </c>
      <c r="T22" s="35" t="str">
        <f t="shared" si="5"/>
        <v/>
      </c>
    </row>
    <row r="23" ht="15.75" customHeight="1">
      <c r="A23" s="4" t="s">
        <v>323</v>
      </c>
      <c r="E23" s="13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4" t="str">
        <f t="shared" si="1"/>
        <v>Sin iniciar</v>
      </c>
      <c r="Q23" s="4" t="str">
        <f t="shared" si="2"/>
        <v>EN GESTIÓN</v>
      </c>
      <c r="R23" s="15">
        <f t="shared" si="3"/>
        <v>0</v>
      </c>
      <c r="S23" s="4" t="str">
        <f t="shared" si="4"/>
        <v>GRIS</v>
      </c>
      <c r="T23" s="35" t="str">
        <f t="shared" si="5"/>
        <v/>
      </c>
    </row>
    <row r="24" ht="15.75" customHeight="1">
      <c r="A24" s="4" t="s">
        <v>324</v>
      </c>
      <c r="E24" s="13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4" t="str">
        <f t="shared" si="1"/>
        <v>Sin iniciar</v>
      </c>
      <c r="Q24" s="4" t="str">
        <f t="shared" si="2"/>
        <v>EN GESTIÓN</v>
      </c>
      <c r="R24" s="15">
        <f t="shared" si="3"/>
        <v>0</v>
      </c>
      <c r="S24" s="4" t="str">
        <f t="shared" si="4"/>
        <v>GRIS</v>
      </c>
      <c r="T24" s="35" t="str">
        <f t="shared" si="5"/>
        <v/>
      </c>
    </row>
    <row r="25" ht="15.75" customHeight="1">
      <c r="A25" s="4" t="s">
        <v>325</v>
      </c>
      <c r="E25" s="13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4" t="str">
        <f t="shared" si="1"/>
        <v>Sin iniciar</v>
      </c>
      <c r="Q25" s="4" t="str">
        <f t="shared" si="2"/>
        <v>EN GESTIÓN</v>
      </c>
      <c r="R25" s="15">
        <f t="shared" si="3"/>
        <v>0</v>
      </c>
      <c r="S25" s="4" t="str">
        <f t="shared" si="4"/>
        <v>GRIS</v>
      </c>
      <c r="T25" s="35" t="str">
        <f t="shared" si="5"/>
        <v/>
      </c>
    </row>
    <row r="26" ht="15.75" customHeight="1">
      <c r="A26" s="4" t="s">
        <v>326</v>
      </c>
      <c r="E26" s="13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4" t="str">
        <f t="shared" si="1"/>
        <v>Sin iniciar</v>
      </c>
      <c r="Q26" s="4" t="str">
        <f t="shared" si="2"/>
        <v>EN GESTIÓN</v>
      </c>
      <c r="R26" s="15">
        <f t="shared" si="3"/>
        <v>0</v>
      </c>
      <c r="S26" s="4" t="str">
        <f t="shared" si="4"/>
        <v>GRIS</v>
      </c>
      <c r="T26" s="35" t="str">
        <f t="shared" si="5"/>
        <v/>
      </c>
    </row>
    <row r="27" ht="15.75" customHeight="1">
      <c r="A27" s="4" t="s">
        <v>327</v>
      </c>
      <c r="E27" s="13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4" t="str">
        <f t="shared" si="1"/>
        <v>Sin iniciar</v>
      </c>
      <c r="Q27" s="4" t="str">
        <f t="shared" si="2"/>
        <v>EN GESTIÓN</v>
      </c>
      <c r="R27" s="15">
        <f t="shared" si="3"/>
        <v>0</v>
      </c>
      <c r="S27" s="4" t="str">
        <f t="shared" si="4"/>
        <v>GRIS</v>
      </c>
      <c r="T27" s="35" t="str">
        <f t="shared" si="5"/>
        <v/>
      </c>
    </row>
    <row r="28" ht="15.75" customHeight="1">
      <c r="A28" s="4" t="s">
        <v>328</v>
      </c>
      <c r="E28" s="13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4" t="str">
        <f t="shared" si="1"/>
        <v>Sin iniciar</v>
      </c>
      <c r="Q28" s="4" t="str">
        <f t="shared" si="2"/>
        <v>EN GESTIÓN</v>
      </c>
      <c r="R28" s="15">
        <f t="shared" si="3"/>
        <v>0</v>
      </c>
      <c r="S28" s="4" t="str">
        <f t="shared" si="4"/>
        <v>GRIS</v>
      </c>
      <c r="T28" s="35" t="str">
        <f t="shared" si="5"/>
        <v/>
      </c>
    </row>
    <row r="29" ht="15.75" customHeight="1">
      <c r="A29" s="4" t="s">
        <v>329</v>
      </c>
      <c r="E29" s="13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4" t="str">
        <f t="shared" si="1"/>
        <v>Sin iniciar</v>
      </c>
      <c r="Q29" s="4" t="str">
        <f t="shared" si="2"/>
        <v>EN GESTIÓN</v>
      </c>
      <c r="R29" s="15">
        <f t="shared" si="3"/>
        <v>0</v>
      </c>
      <c r="S29" s="4" t="str">
        <f t="shared" si="4"/>
        <v>GRIS</v>
      </c>
      <c r="T29" s="35" t="str">
        <f t="shared" si="5"/>
        <v/>
      </c>
    </row>
    <row r="30" ht="15.75" customHeight="1">
      <c r="A30" s="4" t="s">
        <v>330</v>
      </c>
      <c r="E30" s="13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4" t="str">
        <f t="shared" si="1"/>
        <v>Sin iniciar</v>
      </c>
      <c r="Q30" s="4" t="str">
        <f t="shared" si="2"/>
        <v>EN GESTIÓN</v>
      </c>
      <c r="R30" s="15">
        <f t="shared" si="3"/>
        <v>0</v>
      </c>
      <c r="S30" s="4" t="str">
        <f t="shared" si="4"/>
        <v>GRIS</v>
      </c>
      <c r="T30" s="35" t="str">
        <f t="shared" si="5"/>
        <v/>
      </c>
    </row>
    <row r="31" ht="15.75" customHeight="1">
      <c r="A31" s="4" t="s">
        <v>331</v>
      </c>
      <c r="E31" s="13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4" t="str">
        <f t="shared" si="1"/>
        <v>Sin iniciar</v>
      </c>
      <c r="Q31" s="4" t="str">
        <f t="shared" si="2"/>
        <v>EN GESTIÓN</v>
      </c>
      <c r="R31" s="15">
        <f t="shared" si="3"/>
        <v>0</v>
      </c>
      <c r="S31" s="4" t="str">
        <f t="shared" si="4"/>
        <v>GRIS</v>
      </c>
      <c r="T31" s="35" t="str">
        <f t="shared" si="5"/>
        <v/>
      </c>
    </row>
    <row r="32" ht="15.75" customHeight="1">
      <c r="A32" s="4" t="s">
        <v>332</v>
      </c>
      <c r="E32" s="13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4" t="str">
        <f t="shared" si="1"/>
        <v>Sin iniciar</v>
      </c>
      <c r="Q32" s="4" t="str">
        <f t="shared" si="2"/>
        <v>EN GESTIÓN</v>
      </c>
      <c r="R32" s="15">
        <f t="shared" si="3"/>
        <v>0</v>
      </c>
      <c r="S32" s="4" t="str">
        <f t="shared" si="4"/>
        <v>GRIS</v>
      </c>
      <c r="T32" s="35" t="str">
        <f t="shared" si="5"/>
        <v/>
      </c>
    </row>
    <row r="33" ht="15.75" customHeight="1">
      <c r="A33" s="4" t="s">
        <v>333</v>
      </c>
      <c r="E33" s="13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4" t="str">
        <f t="shared" si="1"/>
        <v>Sin iniciar</v>
      </c>
      <c r="Q33" s="4" t="str">
        <f t="shared" si="2"/>
        <v>EN GESTIÓN</v>
      </c>
      <c r="R33" s="15">
        <f t="shared" si="3"/>
        <v>0</v>
      </c>
      <c r="S33" s="4" t="str">
        <f t="shared" si="4"/>
        <v>GRIS</v>
      </c>
      <c r="T33" s="35" t="str">
        <f t="shared" si="5"/>
        <v/>
      </c>
    </row>
    <row r="34" ht="15.75" customHeight="1">
      <c r="A34" s="4" t="s">
        <v>334</v>
      </c>
      <c r="E34" s="13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4" t="str">
        <f t="shared" si="1"/>
        <v>Sin iniciar</v>
      </c>
      <c r="Q34" s="4" t="str">
        <f t="shared" si="2"/>
        <v>EN GESTIÓN</v>
      </c>
      <c r="R34" s="15">
        <f t="shared" si="3"/>
        <v>0</v>
      </c>
      <c r="S34" s="4" t="str">
        <f t="shared" si="4"/>
        <v>GRIS</v>
      </c>
      <c r="T34" s="35" t="str">
        <f t="shared" si="5"/>
        <v/>
      </c>
    </row>
    <row r="35" ht="15.75" customHeight="1">
      <c r="A35" s="4" t="s">
        <v>335</v>
      </c>
      <c r="E35" s="13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4" t="str">
        <f t="shared" si="1"/>
        <v>Sin iniciar</v>
      </c>
      <c r="Q35" s="4" t="str">
        <f t="shared" si="2"/>
        <v>EN GESTIÓN</v>
      </c>
      <c r="R35" s="15">
        <f t="shared" si="3"/>
        <v>0</v>
      </c>
      <c r="S35" s="4" t="str">
        <f t="shared" si="4"/>
        <v>GRIS</v>
      </c>
      <c r="T35" s="35" t="str">
        <f t="shared" si="5"/>
        <v/>
      </c>
    </row>
    <row r="36" ht="15.75" customHeight="1">
      <c r="A36" s="4" t="s">
        <v>336</v>
      </c>
      <c r="E36" s="13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4" t="str">
        <f t="shared" si="1"/>
        <v>Sin iniciar</v>
      </c>
      <c r="Q36" s="4" t="str">
        <f t="shared" si="2"/>
        <v>EN GESTIÓN</v>
      </c>
      <c r="R36" s="15">
        <f t="shared" si="3"/>
        <v>0</v>
      </c>
      <c r="S36" s="4" t="str">
        <f t="shared" si="4"/>
        <v>GRIS</v>
      </c>
      <c r="T36" s="35" t="str">
        <f t="shared" si="5"/>
        <v/>
      </c>
    </row>
    <row r="37" ht="15.75" customHeight="1">
      <c r="A37" s="4" t="s">
        <v>337</v>
      </c>
      <c r="E37" s="13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4" t="str">
        <f t="shared" si="1"/>
        <v>Sin iniciar</v>
      </c>
      <c r="Q37" s="4" t="str">
        <f t="shared" si="2"/>
        <v>EN GESTIÓN</v>
      </c>
      <c r="R37" s="15">
        <f t="shared" si="3"/>
        <v>0</v>
      </c>
      <c r="S37" s="4" t="str">
        <f t="shared" si="4"/>
        <v>GRIS</v>
      </c>
      <c r="T37" s="35" t="str">
        <f t="shared" si="5"/>
        <v/>
      </c>
    </row>
    <row r="38" ht="15.75" customHeight="1">
      <c r="A38" s="4" t="s">
        <v>338</v>
      </c>
      <c r="E38" s="13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4" t="str">
        <f t="shared" si="1"/>
        <v>Sin iniciar</v>
      </c>
      <c r="Q38" s="4" t="str">
        <f t="shared" si="2"/>
        <v>EN GESTIÓN</v>
      </c>
      <c r="R38" s="15">
        <f t="shared" si="3"/>
        <v>0</v>
      </c>
      <c r="S38" s="4" t="str">
        <f t="shared" si="4"/>
        <v>GRIS</v>
      </c>
      <c r="T38" s="35" t="str">
        <f t="shared" si="5"/>
        <v/>
      </c>
    </row>
    <row r="39" ht="15.75" customHeight="1">
      <c r="A39" s="4" t="s">
        <v>339</v>
      </c>
      <c r="E39" s="13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4" t="str">
        <f t="shared" si="1"/>
        <v>Sin iniciar</v>
      </c>
      <c r="Q39" s="4" t="str">
        <f t="shared" si="2"/>
        <v>EN GESTIÓN</v>
      </c>
      <c r="R39" s="15">
        <f t="shared" si="3"/>
        <v>0</v>
      </c>
      <c r="S39" s="4" t="str">
        <f t="shared" si="4"/>
        <v>GRIS</v>
      </c>
      <c r="T39" s="35" t="str">
        <f t="shared" si="5"/>
        <v/>
      </c>
    </row>
    <row r="40" ht="15.75" customHeight="1">
      <c r="A40" s="4" t="s">
        <v>340</v>
      </c>
      <c r="E40" s="13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4" t="str">
        <f t="shared" si="1"/>
        <v>Sin iniciar</v>
      </c>
      <c r="Q40" s="4" t="str">
        <f t="shared" si="2"/>
        <v>EN GESTIÓN</v>
      </c>
      <c r="R40" s="15">
        <f t="shared" si="3"/>
        <v>0</v>
      </c>
      <c r="S40" s="4" t="str">
        <f t="shared" si="4"/>
        <v>GRIS</v>
      </c>
      <c r="T40" s="35" t="str">
        <f t="shared" si="5"/>
        <v/>
      </c>
    </row>
    <row r="41" ht="15.75" customHeight="1"/>
    <row r="42" ht="15.75" customHeight="1">
      <c r="A42" s="4" t="s">
        <v>91</v>
      </c>
      <c r="B42" s="4" t="s">
        <v>92</v>
      </c>
    </row>
    <row r="43" ht="15.75" customHeight="1">
      <c r="A43" s="4" t="s">
        <v>93</v>
      </c>
      <c r="B43" s="4" t="s">
        <v>94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4:B4"/>
    <mergeCell ref="A5:B6"/>
    <mergeCell ref="D5:E6"/>
    <mergeCell ref="G5:H6"/>
    <mergeCell ref="J5:K6"/>
    <mergeCell ref="M5:N6"/>
    <mergeCell ref="P5:Q6"/>
    <mergeCell ref="S5:T6"/>
    <mergeCell ref="A1:U1"/>
    <mergeCell ref="D4:E4"/>
    <mergeCell ref="G4:H4"/>
    <mergeCell ref="J4:K4"/>
    <mergeCell ref="M4:N4"/>
    <mergeCell ref="P4:Q4"/>
    <mergeCell ref="S4:T4"/>
  </mergeCells>
  <conditionalFormatting sqref="B8">
    <cfRule type="expression" dxfId="0" priority="1">
      <formula>B8="VERDE"</formula>
    </cfRule>
  </conditionalFormatting>
  <conditionalFormatting sqref="B8">
    <cfRule type="expression" dxfId="1" priority="2">
      <formula>B8="AMARILLO"</formula>
    </cfRule>
  </conditionalFormatting>
  <conditionalFormatting sqref="B8">
    <cfRule type="expression" dxfId="2" priority="3">
      <formula>B8="ROJO"</formula>
    </cfRule>
  </conditionalFormatting>
  <conditionalFormatting sqref="H11:H40">
    <cfRule type="expression" dxfId="0" priority="4">
      <formula>H11&lt;&gt;""</formula>
    </cfRule>
  </conditionalFormatting>
  <conditionalFormatting sqref="H11:H40">
    <cfRule type="expression" dxfId="1" priority="5">
      <formula>AND($A11&lt;&gt;"",$H11="")</formula>
    </cfRule>
  </conditionalFormatting>
  <conditionalFormatting sqref="H11:H40">
    <cfRule type="expression" dxfId="3" priority="6">
      <formula>AND($A11&lt;&gt;"",H11="")</formula>
    </cfRule>
  </conditionalFormatting>
  <conditionalFormatting sqref="I11:I40">
    <cfRule type="expression" dxfId="0" priority="7">
      <formula>I11&lt;&gt;""</formula>
    </cfRule>
  </conditionalFormatting>
  <conditionalFormatting sqref="I11:I40">
    <cfRule type="expression" dxfId="1" priority="8">
      <formula>AND($H11&lt;&gt;"",$I11="")</formula>
    </cfRule>
  </conditionalFormatting>
  <conditionalFormatting sqref="I11:I40">
    <cfRule type="expression" dxfId="3" priority="9">
      <formula>AND($A11&lt;&gt;"",I11="")</formula>
    </cfRule>
  </conditionalFormatting>
  <conditionalFormatting sqref="J11:J40">
    <cfRule type="expression" dxfId="0" priority="10">
      <formula>J11&lt;&gt;""</formula>
    </cfRule>
  </conditionalFormatting>
  <conditionalFormatting sqref="J11:J40">
    <cfRule type="expression" dxfId="1" priority="11">
      <formula>AND($I11&lt;&gt;"",$J11="")</formula>
    </cfRule>
  </conditionalFormatting>
  <conditionalFormatting sqref="J11:J40">
    <cfRule type="expression" dxfId="3" priority="12">
      <formula>AND($A11&lt;&gt;"",J11="")</formula>
    </cfRule>
  </conditionalFormatting>
  <conditionalFormatting sqref="K11:K40">
    <cfRule type="expression" dxfId="0" priority="13">
      <formula>K11&lt;&gt;""</formula>
    </cfRule>
  </conditionalFormatting>
  <conditionalFormatting sqref="K11:K40">
    <cfRule type="expression" dxfId="1" priority="14">
      <formula>AND($J11&lt;&gt;"",$K11="")</formula>
    </cfRule>
  </conditionalFormatting>
  <conditionalFormatting sqref="K11:K40">
    <cfRule type="expression" dxfId="3" priority="15">
      <formula>AND($A11&lt;&gt;"",K11="")</formula>
    </cfRule>
  </conditionalFormatting>
  <conditionalFormatting sqref="L11:L40">
    <cfRule type="expression" dxfId="0" priority="16">
      <formula>L11&lt;&gt;""</formula>
    </cfRule>
  </conditionalFormatting>
  <conditionalFormatting sqref="L11:L40">
    <cfRule type="expression" dxfId="1" priority="17">
      <formula>AND($K11&lt;&gt;"",$L11="")</formula>
    </cfRule>
  </conditionalFormatting>
  <conditionalFormatting sqref="L11:L40">
    <cfRule type="expression" dxfId="3" priority="18">
      <formula>AND($A11&lt;&gt;"",L11="")</formula>
    </cfRule>
  </conditionalFormatting>
  <conditionalFormatting sqref="M11:M40">
    <cfRule type="expression" dxfId="0" priority="19">
      <formula>M11&lt;&gt;""</formula>
    </cfRule>
  </conditionalFormatting>
  <conditionalFormatting sqref="M11:M40">
    <cfRule type="expression" dxfId="1" priority="20">
      <formula>AND($L11&lt;&gt;"",$M11="")</formula>
    </cfRule>
  </conditionalFormatting>
  <conditionalFormatting sqref="M11:M40">
    <cfRule type="expression" dxfId="3" priority="21">
      <formula>AND($A11&lt;&gt;"",M11="")</formula>
    </cfRule>
  </conditionalFormatting>
  <conditionalFormatting sqref="N11:N40">
    <cfRule type="expression" dxfId="0" priority="22">
      <formula>N11&lt;&gt;""</formula>
    </cfRule>
  </conditionalFormatting>
  <conditionalFormatting sqref="N11:N40">
    <cfRule type="expression" dxfId="1" priority="23">
      <formula>AND($M11&lt;&gt;"",$N11="")</formula>
    </cfRule>
  </conditionalFormatting>
  <conditionalFormatting sqref="N11:N40">
    <cfRule type="expression" dxfId="3" priority="24">
      <formula>AND($A11&lt;&gt;"",N11="")</formula>
    </cfRule>
  </conditionalFormatting>
  <conditionalFormatting sqref="O11:O40">
    <cfRule type="expression" dxfId="0" priority="25">
      <formula>O11&lt;&gt;""</formula>
    </cfRule>
  </conditionalFormatting>
  <conditionalFormatting sqref="O11:O40">
    <cfRule type="expression" dxfId="1" priority="26">
      <formula>AND($N11&lt;&gt;"",$O11="")</formula>
    </cfRule>
  </conditionalFormatting>
  <conditionalFormatting sqref="O11:O40">
    <cfRule type="expression" dxfId="3" priority="27">
      <formula>AND($A11&lt;&gt;"",O11="")</formula>
    </cfRule>
  </conditionalFormatting>
  <conditionalFormatting sqref="T11:T40">
    <cfRule type="expression" dxfId="0" priority="28">
      <formula>T11="VERDE"</formula>
    </cfRule>
  </conditionalFormatting>
  <conditionalFormatting sqref="T11:T40">
    <cfRule type="expression" dxfId="1" priority="29">
      <formula>T11="AMARILLO"</formula>
    </cfRule>
  </conditionalFormatting>
  <conditionalFormatting sqref="T11:T40">
    <cfRule type="expression" dxfId="2" priority="30">
      <formula>T11="ROJO"</formula>
    </cfRule>
  </conditionalFormatting>
  <conditionalFormatting sqref="T11:T40">
    <cfRule type="expression" dxfId="3" priority="31">
      <formula>T11="GRIS"</formula>
    </cfRule>
  </conditionalFormatting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12.0"/>
    <col customWidth="1" min="2" max="2" width="18.0"/>
    <col customWidth="1" min="3" max="3" width="13.0"/>
    <col customWidth="1" min="4" max="5" width="14.0"/>
    <col customWidth="1" min="6" max="7" width="12.0"/>
    <col customWidth="1" min="8" max="9" width="11.0"/>
    <col customWidth="1" min="10" max="10" width="13.0"/>
    <col customWidth="1" min="11" max="11" width="11.0"/>
    <col customWidth="1" min="12" max="12" width="13.0"/>
    <col customWidth="1" min="13" max="13" width="16.0"/>
    <col customWidth="1" min="14" max="14" width="14.0"/>
    <col customWidth="1" min="15" max="15" width="13.0"/>
    <col customWidth="1" min="16" max="17" width="16.0"/>
    <col customWidth="1" min="18" max="19" width="10.0"/>
    <col customWidth="1" min="20" max="20" width="11.0"/>
    <col customWidth="1" min="21" max="21" width="24.0"/>
    <col customWidth="1" min="22" max="26" width="8.71"/>
  </cols>
  <sheetData>
    <row r="1">
      <c r="A1" s="1" t="s">
        <v>341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</row>
    <row r="3">
      <c r="A3" s="4" t="s">
        <v>9</v>
      </c>
      <c r="B3" s="20" t="s">
        <v>28</v>
      </c>
      <c r="D3" s="4" t="s">
        <v>41</v>
      </c>
      <c r="E3" s="20"/>
      <c r="G3" s="4" t="s">
        <v>42</v>
      </c>
      <c r="H3" s="20" t="s">
        <v>43</v>
      </c>
      <c r="J3" s="4" t="s">
        <v>44</v>
      </c>
      <c r="K3" s="20"/>
    </row>
    <row r="4">
      <c r="A4" s="6" t="s">
        <v>10</v>
      </c>
      <c r="B4" s="3"/>
      <c r="D4" s="6" t="s">
        <v>4</v>
      </c>
      <c r="E4" s="3"/>
      <c r="G4" s="6" t="s">
        <v>11</v>
      </c>
      <c r="H4" s="3"/>
      <c r="J4" s="6" t="s">
        <v>12</v>
      </c>
      <c r="K4" s="3"/>
      <c r="M4" s="6" t="s">
        <v>13</v>
      </c>
      <c r="N4" s="3"/>
      <c r="P4" s="6" t="s">
        <v>14</v>
      </c>
      <c r="Q4" s="3"/>
      <c r="S4" s="6" t="s">
        <v>15</v>
      </c>
      <c r="T4" s="3"/>
    </row>
    <row r="5">
      <c r="A5" s="24">
        <f>COUNTIF(A11:A40,"&lt;&gt;")</f>
        <v>30</v>
      </c>
      <c r="D5" s="25">
        <f>SUM(E11:E40)</f>
        <v>0</v>
      </c>
      <c r="G5" s="24">
        <f>COUNTIF(R11:R40,"COMPLETA")</f>
        <v>0</v>
      </c>
      <c r="J5" s="24">
        <f>COUNTIFS(R11:R40,"&lt;&gt;COMPLETA",A11:A40,"&lt;&gt;")</f>
        <v>30</v>
      </c>
      <c r="M5" s="24">
        <f>COUNTIF(T11:T40,"ROJO")</f>
        <v>0</v>
      </c>
      <c r="P5" s="26">
        <f>IFERROR(AVERAGE(S11:S40),0)</f>
        <v>0</v>
      </c>
      <c r="S5" s="27">
        <f>IFERROR(MINIFS(G11:G40,R11:R40,"&lt;&gt;COMPLETA",G11:G40,"&gt;0"),0)</f>
        <v>0</v>
      </c>
    </row>
    <row r="8">
      <c r="A8" s="4" t="s">
        <v>46</v>
      </c>
      <c r="B8" s="4" t="str">
        <f>IF(J5&gt;0,"ROJO",IF(H5&gt;0,"AMARILLO","VERDE"))</f>
        <v>ROJO</v>
      </c>
      <c r="D8" s="4" t="s">
        <v>47</v>
      </c>
      <c r="E8" s="28" t="str">
        <f>IF(B8="ROJO","Escalar órdenes vencidas",IF(B8="AMARILLO","Monitorear órdenes activas","Operación estable"))</f>
        <v>Escalar órdenes vencidas</v>
      </c>
    </row>
    <row r="10">
      <c r="A10" s="30" t="s">
        <v>32</v>
      </c>
      <c r="B10" s="30" t="s">
        <v>48</v>
      </c>
      <c r="C10" s="30" t="s">
        <v>49</v>
      </c>
      <c r="D10" s="30" t="s">
        <v>44</v>
      </c>
      <c r="E10" s="30" t="s">
        <v>33</v>
      </c>
      <c r="F10" s="30" t="s">
        <v>37</v>
      </c>
      <c r="G10" s="30" t="s">
        <v>38</v>
      </c>
      <c r="H10" s="30" t="s">
        <v>51</v>
      </c>
      <c r="I10" s="30" t="s">
        <v>52</v>
      </c>
      <c r="J10" s="30" t="s">
        <v>53</v>
      </c>
      <c r="K10" s="30" t="s">
        <v>34</v>
      </c>
      <c r="L10" s="30" t="s">
        <v>54</v>
      </c>
      <c r="M10" s="30" t="s">
        <v>55</v>
      </c>
      <c r="N10" s="30" t="s">
        <v>56</v>
      </c>
      <c r="O10" s="30" t="s">
        <v>57</v>
      </c>
      <c r="P10" s="30" t="s">
        <v>58</v>
      </c>
      <c r="Q10" s="30" t="s">
        <v>59</v>
      </c>
      <c r="R10" s="30" t="s">
        <v>60</v>
      </c>
      <c r="S10" s="30" t="s">
        <v>61</v>
      </c>
      <c r="T10" s="30" t="s">
        <v>62</v>
      </c>
      <c r="U10" s="30" t="s">
        <v>39</v>
      </c>
    </row>
    <row r="11">
      <c r="A11" s="4" t="s">
        <v>342</v>
      </c>
      <c r="E11" s="13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4" t="str">
        <f t="shared" ref="P11:P40" si="1">IF(O11&lt;&gt;"","Llega bodega",IF(N11&lt;&gt;"","Llega puerto MX",IF(M11&lt;&gt;"","Sale puerto origen",IF(L11&lt;&gt;"","Producción OK",IF(K11&lt;&gt;"","Anticipo",IF(J11&lt;&gt;"","Info empaque",IF(I11&lt;&gt;"","Aprobar",IF(H11&lt;&gt;"","Cotizar","Sin iniciar"))))))))</f>
        <v>Sin iniciar</v>
      </c>
      <c r="Q11" s="4" t="str">
        <f t="shared" ref="Q11:Q40" si="2">IF(A11="","",IF(O11&lt;&gt;"","COMPLETA",IF(M11&lt;&gt;"","EN TRÁNSITO",IF(L11&lt;&gt;"","EN PRODUCCIÓN",IF(K11&lt;&gt;"","PAGADA / EN ESPERA","EN GESTIÓN")))))</f>
        <v>EN GESTIÓN</v>
      </c>
      <c r="R11" s="15">
        <f t="shared" ref="R11:R40" si="3">COUNT(H11:O11)/8</f>
        <v>0</v>
      </c>
      <c r="S11" s="4" t="str">
        <f t="shared" ref="S11:S40" si="4">IF(A11="","",IF(O11&lt;&gt;"","VERDE",IF(AND(G11&lt;&gt;"",TODAY()&gt;G11),"ROJO",IF(COUNT(H11:O11)=0,"GRIS","AMARILLO"))))</f>
        <v>GRIS</v>
      </c>
      <c r="T11" s="35" t="str">
        <f t="shared" ref="T11:T40" si="5">IF(COUNT(H11:O11)=0,"",TODAY()-MAX(H11:O11))</f>
        <v/>
      </c>
    </row>
    <row r="12">
      <c r="A12" s="4" t="s">
        <v>343</v>
      </c>
      <c r="E12" s="13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4" t="str">
        <f t="shared" si="1"/>
        <v>Sin iniciar</v>
      </c>
      <c r="Q12" s="4" t="str">
        <f t="shared" si="2"/>
        <v>EN GESTIÓN</v>
      </c>
      <c r="R12" s="15">
        <f t="shared" si="3"/>
        <v>0</v>
      </c>
      <c r="S12" s="4" t="str">
        <f t="shared" si="4"/>
        <v>GRIS</v>
      </c>
      <c r="T12" s="35" t="str">
        <f t="shared" si="5"/>
        <v/>
      </c>
    </row>
    <row r="13">
      <c r="A13" s="4" t="s">
        <v>344</v>
      </c>
      <c r="E13" s="13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4" t="str">
        <f t="shared" si="1"/>
        <v>Sin iniciar</v>
      </c>
      <c r="Q13" s="4" t="str">
        <f t="shared" si="2"/>
        <v>EN GESTIÓN</v>
      </c>
      <c r="R13" s="15">
        <f t="shared" si="3"/>
        <v>0</v>
      </c>
      <c r="S13" s="4" t="str">
        <f t="shared" si="4"/>
        <v>GRIS</v>
      </c>
      <c r="T13" s="35" t="str">
        <f t="shared" si="5"/>
        <v/>
      </c>
    </row>
    <row r="14">
      <c r="A14" s="4" t="s">
        <v>345</v>
      </c>
      <c r="E14" s="13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4" t="str">
        <f t="shared" si="1"/>
        <v>Sin iniciar</v>
      </c>
      <c r="Q14" s="4" t="str">
        <f t="shared" si="2"/>
        <v>EN GESTIÓN</v>
      </c>
      <c r="R14" s="15">
        <f t="shared" si="3"/>
        <v>0</v>
      </c>
      <c r="S14" s="4" t="str">
        <f t="shared" si="4"/>
        <v>GRIS</v>
      </c>
      <c r="T14" s="35" t="str">
        <f t="shared" si="5"/>
        <v/>
      </c>
    </row>
    <row r="15">
      <c r="A15" s="4" t="s">
        <v>346</v>
      </c>
      <c r="E15" s="13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4" t="str">
        <f t="shared" si="1"/>
        <v>Sin iniciar</v>
      </c>
      <c r="Q15" s="4" t="str">
        <f t="shared" si="2"/>
        <v>EN GESTIÓN</v>
      </c>
      <c r="R15" s="15">
        <f t="shared" si="3"/>
        <v>0</v>
      </c>
      <c r="S15" s="4" t="str">
        <f t="shared" si="4"/>
        <v>GRIS</v>
      </c>
      <c r="T15" s="35" t="str">
        <f t="shared" si="5"/>
        <v/>
      </c>
    </row>
    <row r="16">
      <c r="A16" s="4" t="s">
        <v>347</v>
      </c>
      <c r="E16" s="13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4" t="str">
        <f t="shared" si="1"/>
        <v>Sin iniciar</v>
      </c>
      <c r="Q16" s="4" t="str">
        <f t="shared" si="2"/>
        <v>EN GESTIÓN</v>
      </c>
      <c r="R16" s="15">
        <f t="shared" si="3"/>
        <v>0</v>
      </c>
      <c r="S16" s="4" t="str">
        <f t="shared" si="4"/>
        <v>GRIS</v>
      </c>
      <c r="T16" s="35" t="str">
        <f t="shared" si="5"/>
        <v/>
      </c>
    </row>
    <row r="17">
      <c r="A17" s="4" t="s">
        <v>348</v>
      </c>
      <c r="E17" s="13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4" t="str">
        <f t="shared" si="1"/>
        <v>Sin iniciar</v>
      </c>
      <c r="Q17" s="4" t="str">
        <f t="shared" si="2"/>
        <v>EN GESTIÓN</v>
      </c>
      <c r="R17" s="15">
        <f t="shared" si="3"/>
        <v>0</v>
      </c>
      <c r="S17" s="4" t="str">
        <f t="shared" si="4"/>
        <v>GRIS</v>
      </c>
      <c r="T17" s="35" t="str">
        <f t="shared" si="5"/>
        <v/>
      </c>
    </row>
    <row r="18">
      <c r="A18" s="4" t="s">
        <v>349</v>
      </c>
      <c r="E18" s="13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4" t="str">
        <f t="shared" si="1"/>
        <v>Sin iniciar</v>
      </c>
      <c r="Q18" s="4" t="str">
        <f t="shared" si="2"/>
        <v>EN GESTIÓN</v>
      </c>
      <c r="R18" s="15">
        <f t="shared" si="3"/>
        <v>0</v>
      </c>
      <c r="S18" s="4" t="str">
        <f t="shared" si="4"/>
        <v>GRIS</v>
      </c>
      <c r="T18" s="35" t="str">
        <f t="shared" si="5"/>
        <v/>
      </c>
    </row>
    <row r="19">
      <c r="A19" s="4" t="s">
        <v>350</v>
      </c>
      <c r="E19" s="13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4" t="str">
        <f t="shared" si="1"/>
        <v>Sin iniciar</v>
      </c>
      <c r="Q19" s="4" t="str">
        <f t="shared" si="2"/>
        <v>EN GESTIÓN</v>
      </c>
      <c r="R19" s="15">
        <f t="shared" si="3"/>
        <v>0</v>
      </c>
      <c r="S19" s="4" t="str">
        <f t="shared" si="4"/>
        <v>GRIS</v>
      </c>
      <c r="T19" s="35" t="str">
        <f t="shared" si="5"/>
        <v/>
      </c>
    </row>
    <row r="20">
      <c r="A20" s="4" t="s">
        <v>351</v>
      </c>
      <c r="E20" s="13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4" t="str">
        <f t="shared" si="1"/>
        <v>Sin iniciar</v>
      </c>
      <c r="Q20" s="4" t="str">
        <f t="shared" si="2"/>
        <v>EN GESTIÓN</v>
      </c>
      <c r="R20" s="15">
        <f t="shared" si="3"/>
        <v>0</v>
      </c>
      <c r="S20" s="4" t="str">
        <f t="shared" si="4"/>
        <v>GRIS</v>
      </c>
      <c r="T20" s="35" t="str">
        <f t="shared" si="5"/>
        <v/>
      </c>
    </row>
    <row r="21" ht="15.75" customHeight="1">
      <c r="A21" s="4" t="s">
        <v>352</v>
      </c>
      <c r="E21" s="13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4" t="str">
        <f t="shared" si="1"/>
        <v>Sin iniciar</v>
      </c>
      <c r="Q21" s="4" t="str">
        <f t="shared" si="2"/>
        <v>EN GESTIÓN</v>
      </c>
      <c r="R21" s="15">
        <f t="shared" si="3"/>
        <v>0</v>
      </c>
      <c r="S21" s="4" t="str">
        <f t="shared" si="4"/>
        <v>GRIS</v>
      </c>
      <c r="T21" s="35" t="str">
        <f t="shared" si="5"/>
        <v/>
      </c>
    </row>
    <row r="22" ht="15.75" customHeight="1">
      <c r="A22" s="4" t="s">
        <v>353</v>
      </c>
      <c r="E22" s="13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4" t="str">
        <f t="shared" si="1"/>
        <v>Sin iniciar</v>
      </c>
      <c r="Q22" s="4" t="str">
        <f t="shared" si="2"/>
        <v>EN GESTIÓN</v>
      </c>
      <c r="R22" s="15">
        <f t="shared" si="3"/>
        <v>0</v>
      </c>
      <c r="S22" s="4" t="str">
        <f t="shared" si="4"/>
        <v>GRIS</v>
      </c>
      <c r="T22" s="35" t="str">
        <f t="shared" si="5"/>
        <v/>
      </c>
    </row>
    <row r="23" ht="15.75" customHeight="1">
      <c r="A23" s="4" t="s">
        <v>354</v>
      </c>
      <c r="E23" s="13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4" t="str">
        <f t="shared" si="1"/>
        <v>Sin iniciar</v>
      </c>
      <c r="Q23" s="4" t="str">
        <f t="shared" si="2"/>
        <v>EN GESTIÓN</v>
      </c>
      <c r="R23" s="15">
        <f t="shared" si="3"/>
        <v>0</v>
      </c>
      <c r="S23" s="4" t="str">
        <f t="shared" si="4"/>
        <v>GRIS</v>
      </c>
      <c r="T23" s="35" t="str">
        <f t="shared" si="5"/>
        <v/>
      </c>
    </row>
    <row r="24" ht="15.75" customHeight="1">
      <c r="A24" s="4" t="s">
        <v>355</v>
      </c>
      <c r="E24" s="13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4" t="str">
        <f t="shared" si="1"/>
        <v>Sin iniciar</v>
      </c>
      <c r="Q24" s="4" t="str">
        <f t="shared" si="2"/>
        <v>EN GESTIÓN</v>
      </c>
      <c r="R24" s="15">
        <f t="shared" si="3"/>
        <v>0</v>
      </c>
      <c r="S24" s="4" t="str">
        <f t="shared" si="4"/>
        <v>GRIS</v>
      </c>
      <c r="T24" s="35" t="str">
        <f t="shared" si="5"/>
        <v/>
      </c>
    </row>
    <row r="25" ht="15.75" customHeight="1">
      <c r="A25" s="4" t="s">
        <v>356</v>
      </c>
      <c r="E25" s="13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4" t="str">
        <f t="shared" si="1"/>
        <v>Sin iniciar</v>
      </c>
      <c r="Q25" s="4" t="str">
        <f t="shared" si="2"/>
        <v>EN GESTIÓN</v>
      </c>
      <c r="R25" s="15">
        <f t="shared" si="3"/>
        <v>0</v>
      </c>
      <c r="S25" s="4" t="str">
        <f t="shared" si="4"/>
        <v>GRIS</v>
      </c>
      <c r="T25" s="35" t="str">
        <f t="shared" si="5"/>
        <v/>
      </c>
    </row>
    <row r="26" ht="15.75" customHeight="1">
      <c r="A26" s="4" t="s">
        <v>357</v>
      </c>
      <c r="E26" s="13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4" t="str">
        <f t="shared" si="1"/>
        <v>Sin iniciar</v>
      </c>
      <c r="Q26" s="4" t="str">
        <f t="shared" si="2"/>
        <v>EN GESTIÓN</v>
      </c>
      <c r="R26" s="15">
        <f t="shared" si="3"/>
        <v>0</v>
      </c>
      <c r="S26" s="4" t="str">
        <f t="shared" si="4"/>
        <v>GRIS</v>
      </c>
      <c r="T26" s="35" t="str">
        <f t="shared" si="5"/>
        <v/>
      </c>
    </row>
    <row r="27" ht="15.75" customHeight="1">
      <c r="A27" s="4" t="s">
        <v>358</v>
      </c>
      <c r="E27" s="13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4" t="str">
        <f t="shared" si="1"/>
        <v>Sin iniciar</v>
      </c>
      <c r="Q27" s="4" t="str">
        <f t="shared" si="2"/>
        <v>EN GESTIÓN</v>
      </c>
      <c r="R27" s="15">
        <f t="shared" si="3"/>
        <v>0</v>
      </c>
      <c r="S27" s="4" t="str">
        <f t="shared" si="4"/>
        <v>GRIS</v>
      </c>
      <c r="T27" s="35" t="str">
        <f t="shared" si="5"/>
        <v/>
      </c>
    </row>
    <row r="28" ht="15.75" customHeight="1">
      <c r="A28" s="4" t="s">
        <v>359</v>
      </c>
      <c r="E28" s="13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4" t="str">
        <f t="shared" si="1"/>
        <v>Sin iniciar</v>
      </c>
      <c r="Q28" s="4" t="str">
        <f t="shared" si="2"/>
        <v>EN GESTIÓN</v>
      </c>
      <c r="R28" s="15">
        <f t="shared" si="3"/>
        <v>0</v>
      </c>
      <c r="S28" s="4" t="str">
        <f t="shared" si="4"/>
        <v>GRIS</v>
      </c>
      <c r="T28" s="35" t="str">
        <f t="shared" si="5"/>
        <v/>
      </c>
    </row>
    <row r="29" ht="15.75" customHeight="1">
      <c r="A29" s="4" t="s">
        <v>360</v>
      </c>
      <c r="E29" s="13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4" t="str">
        <f t="shared" si="1"/>
        <v>Sin iniciar</v>
      </c>
      <c r="Q29" s="4" t="str">
        <f t="shared" si="2"/>
        <v>EN GESTIÓN</v>
      </c>
      <c r="R29" s="15">
        <f t="shared" si="3"/>
        <v>0</v>
      </c>
      <c r="S29" s="4" t="str">
        <f t="shared" si="4"/>
        <v>GRIS</v>
      </c>
      <c r="T29" s="35" t="str">
        <f t="shared" si="5"/>
        <v/>
      </c>
    </row>
    <row r="30" ht="15.75" customHeight="1">
      <c r="A30" s="4" t="s">
        <v>361</v>
      </c>
      <c r="E30" s="13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4" t="str">
        <f t="shared" si="1"/>
        <v>Sin iniciar</v>
      </c>
      <c r="Q30" s="4" t="str">
        <f t="shared" si="2"/>
        <v>EN GESTIÓN</v>
      </c>
      <c r="R30" s="15">
        <f t="shared" si="3"/>
        <v>0</v>
      </c>
      <c r="S30" s="4" t="str">
        <f t="shared" si="4"/>
        <v>GRIS</v>
      </c>
      <c r="T30" s="35" t="str">
        <f t="shared" si="5"/>
        <v/>
      </c>
    </row>
    <row r="31" ht="15.75" customHeight="1">
      <c r="A31" s="4" t="s">
        <v>362</v>
      </c>
      <c r="E31" s="13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4" t="str">
        <f t="shared" si="1"/>
        <v>Sin iniciar</v>
      </c>
      <c r="Q31" s="4" t="str">
        <f t="shared" si="2"/>
        <v>EN GESTIÓN</v>
      </c>
      <c r="R31" s="15">
        <f t="shared" si="3"/>
        <v>0</v>
      </c>
      <c r="S31" s="4" t="str">
        <f t="shared" si="4"/>
        <v>GRIS</v>
      </c>
      <c r="T31" s="35" t="str">
        <f t="shared" si="5"/>
        <v/>
      </c>
    </row>
    <row r="32" ht="15.75" customHeight="1">
      <c r="A32" s="4" t="s">
        <v>363</v>
      </c>
      <c r="E32" s="13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4" t="str">
        <f t="shared" si="1"/>
        <v>Sin iniciar</v>
      </c>
      <c r="Q32" s="4" t="str">
        <f t="shared" si="2"/>
        <v>EN GESTIÓN</v>
      </c>
      <c r="R32" s="15">
        <f t="shared" si="3"/>
        <v>0</v>
      </c>
      <c r="S32" s="4" t="str">
        <f t="shared" si="4"/>
        <v>GRIS</v>
      </c>
      <c r="T32" s="35" t="str">
        <f t="shared" si="5"/>
        <v/>
      </c>
    </row>
    <row r="33" ht="15.75" customHeight="1">
      <c r="A33" s="4" t="s">
        <v>364</v>
      </c>
      <c r="E33" s="13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4" t="str">
        <f t="shared" si="1"/>
        <v>Sin iniciar</v>
      </c>
      <c r="Q33" s="4" t="str">
        <f t="shared" si="2"/>
        <v>EN GESTIÓN</v>
      </c>
      <c r="R33" s="15">
        <f t="shared" si="3"/>
        <v>0</v>
      </c>
      <c r="S33" s="4" t="str">
        <f t="shared" si="4"/>
        <v>GRIS</v>
      </c>
      <c r="T33" s="35" t="str">
        <f t="shared" si="5"/>
        <v/>
      </c>
    </row>
    <row r="34" ht="15.75" customHeight="1">
      <c r="A34" s="4" t="s">
        <v>365</v>
      </c>
      <c r="E34" s="13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4" t="str">
        <f t="shared" si="1"/>
        <v>Sin iniciar</v>
      </c>
      <c r="Q34" s="4" t="str">
        <f t="shared" si="2"/>
        <v>EN GESTIÓN</v>
      </c>
      <c r="R34" s="15">
        <f t="shared" si="3"/>
        <v>0</v>
      </c>
      <c r="S34" s="4" t="str">
        <f t="shared" si="4"/>
        <v>GRIS</v>
      </c>
      <c r="T34" s="35" t="str">
        <f t="shared" si="5"/>
        <v/>
      </c>
    </row>
    <row r="35" ht="15.75" customHeight="1">
      <c r="A35" s="4" t="s">
        <v>366</v>
      </c>
      <c r="E35" s="13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4" t="str">
        <f t="shared" si="1"/>
        <v>Sin iniciar</v>
      </c>
      <c r="Q35" s="4" t="str">
        <f t="shared" si="2"/>
        <v>EN GESTIÓN</v>
      </c>
      <c r="R35" s="15">
        <f t="shared" si="3"/>
        <v>0</v>
      </c>
      <c r="S35" s="4" t="str">
        <f t="shared" si="4"/>
        <v>GRIS</v>
      </c>
      <c r="T35" s="35" t="str">
        <f t="shared" si="5"/>
        <v/>
      </c>
    </row>
    <row r="36" ht="15.75" customHeight="1">
      <c r="A36" s="4" t="s">
        <v>367</v>
      </c>
      <c r="E36" s="13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4" t="str">
        <f t="shared" si="1"/>
        <v>Sin iniciar</v>
      </c>
      <c r="Q36" s="4" t="str">
        <f t="shared" si="2"/>
        <v>EN GESTIÓN</v>
      </c>
      <c r="R36" s="15">
        <f t="shared" si="3"/>
        <v>0</v>
      </c>
      <c r="S36" s="4" t="str">
        <f t="shared" si="4"/>
        <v>GRIS</v>
      </c>
      <c r="T36" s="35" t="str">
        <f t="shared" si="5"/>
        <v/>
      </c>
    </row>
    <row r="37" ht="15.75" customHeight="1">
      <c r="A37" s="4" t="s">
        <v>368</v>
      </c>
      <c r="E37" s="13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4" t="str">
        <f t="shared" si="1"/>
        <v>Sin iniciar</v>
      </c>
      <c r="Q37" s="4" t="str">
        <f t="shared" si="2"/>
        <v>EN GESTIÓN</v>
      </c>
      <c r="R37" s="15">
        <f t="shared" si="3"/>
        <v>0</v>
      </c>
      <c r="S37" s="4" t="str">
        <f t="shared" si="4"/>
        <v>GRIS</v>
      </c>
      <c r="T37" s="35" t="str">
        <f t="shared" si="5"/>
        <v/>
      </c>
    </row>
    <row r="38" ht="15.75" customHeight="1">
      <c r="A38" s="4" t="s">
        <v>369</v>
      </c>
      <c r="E38" s="13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4" t="str">
        <f t="shared" si="1"/>
        <v>Sin iniciar</v>
      </c>
      <c r="Q38" s="4" t="str">
        <f t="shared" si="2"/>
        <v>EN GESTIÓN</v>
      </c>
      <c r="R38" s="15">
        <f t="shared" si="3"/>
        <v>0</v>
      </c>
      <c r="S38" s="4" t="str">
        <f t="shared" si="4"/>
        <v>GRIS</v>
      </c>
      <c r="T38" s="35" t="str">
        <f t="shared" si="5"/>
        <v/>
      </c>
    </row>
    <row r="39" ht="15.75" customHeight="1">
      <c r="A39" s="4" t="s">
        <v>370</v>
      </c>
      <c r="E39" s="13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4" t="str">
        <f t="shared" si="1"/>
        <v>Sin iniciar</v>
      </c>
      <c r="Q39" s="4" t="str">
        <f t="shared" si="2"/>
        <v>EN GESTIÓN</v>
      </c>
      <c r="R39" s="15">
        <f t="shared" si="3"/>
        <v>0</v>
      </c>
      <c r="S39" s="4" t="str">
        <f t="shared" si="4"/>
        <v>GRIS</v>
      </c>
      <c r="T39" s="35" t="str">
        <f t="shared" si="5"/>
        <v/>
      </c>
    </row>
    <row r="40" ht="15.75" customHeight="1">
      <c r="A40" s="4" t="s">
        <v>371</v>
      </c>
      <c r="E40" s="13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4" t="str">
        <f t="shared" si="1"/>
        <v>Sin iniciar</v>
      </c>
      <c r="Q40" s="4" t="str">
        <f t="shared" si="2"/>
        <v>EN GESTIÓN</v>
      </c>
      <c r="R40" s="15">
        <f t="shared" si="3"/>
        <v>0</v>
      </c>
      <c r="S40" s="4" t="str">
        <f t="shared" si="4"/>
        <v>GRIS</v>
      </c>
      <c r="T40" s="35" t="str">
        <f t="shared" si="5"/>
        <v/>
      </c>
    </row>
    <row r="41" ht="15.75" customHeight="1"/>
    <row r="42" ht="15.75" customHeight="1">
      <c r="A42" s="4" t="s">
        <v>91</v>
      </c>
      <c r="B42" s="4" t="s">
        <v>92</v>
      </c>
    </row>
    <row r="43" ht="15.75" customHeight="1">
      <c r="A43" s="4" t="s">
        <v>93</v>
      </c>
      <c r="B43" s="4" t="s">
        <v>94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4:B4"/>
    <mergeCell ref="A5:B6"/>
    <mergeCell ref="D5:E6"/>
    <mergeCell ref="G5:H6"/>
    <mergeCell ref="J5:K6"/>
    <mergeCell ref="M5:N6"/>
    <mergeCell ref="P5:Q6"/>
    <mergeCell ref="S5:T6"/>
    <mergeCell ref="A1:U1"/>
    <mergeCell ref="D4:E4"/>
    <mergeCell ref="G4:H4"/>
    <mergeCell ref="J4:K4"/>
    <mergeCell ref="M4:N4"/>
    <mergeCell ref="P4:Q4"/>
    <mergeCell ref="S4:T4"/>
  </mergeCells>
  <conditionalFormatting sqref="B8">
    <cfRule type="expression" dxfId="0" priority="1">
      <formula>B8="VERDE"</formula>
    </cfRule>
  </conditionalFormatting>
  <conditionalFormatting sqref="B8">
    <cfRule type="expression" dxfId="1" priority="2">
      <formula>B8="AMARILLO"</formula>
    </cfRule>
  </conditionalFormatting>
  <conditionalFormatting sqref="B8">
    <cfRule type="expression" dxfId="2" priority="3">
      <formula>B8="ROJO"</formula>
    </cfRule>
  </conditionalFormatting>
  <conditionalFormatting sqref="H11:H40">
    <cfRule type="expression" dxfId="0" priority="4">
      <formula>H11&lt;&gt;""</formula>
    </cfRule>
  </conditionalFormatting>
  <conditionalFormatting sqref="H11:H40">
    <cfRule type="expression" dxfId="1" priority="5">
      <formula>AND($A11&lt;&gt;"",$H11="")</formula>
    </cfRule>
  </conditionalFormatting>
  <conditionalFormatting sqref="H11:H40">
    <cfRule type="expression" dxfId="3" priority="6">
      <formula>AND($A11&lt;&gt;"",H11="")</formula>
    </cfRule>
  </conditionalFormatting>
  <conditionalFormatting sqref="I11:I40">
    <cfRule type="expression" dxfId="0" priority="7">
      <formula>I11&lt;&gt;""</formula>
    </cfRule>
  </conditionalFormatting>
  <conditionalFormatting sqref="I11:I40">
    <cfRule type="expression" dxfId="1" priority="8">
      <formula>AND($H11&lt;&gt;"",$I11="")</formula>
    </cfRule>
  </conditionalFormatting>
  <conditionalFormatting sqref="I11:I40">
    <cfRule type="expression" dxfId="3" priority="9">
      <formula>AND($A11&lt;&gt;"",I11="")</formula>
    </cfRule>
  </conditionalFormatting>
  <conditionalFormatting sqref="J11:J40">
    <cfRule type="expression" dxfId="0" priority="10">
      <formula>J11&lt;&gt;""</formula>
    </cfRule>
  </conditionalFormatting>
  <conditionalFormatting sqref="J11:J40">
    <cfRule type="expression" dxfId="1" priority="11">
      <formula>AND($I11&lt;&gt;"",$J11="")</formula>
    </cfRule>
  </conditionalFormatting>
  <conditionalFormatting sqref="J11:J40">
    <cfRule type="expression" dxfId="3" priority="12">
      <formula>AND($A11&lt;&gt;"",J11="")</formula>
    </cfRule>
  </conditionalFormatting>
  <conditionalFormatting sqref="K11:K40">
    <cfRule type="expression" dxfId="0" priority="13">
      <formula>K11&lt;&gt;""</formula>
    </cfRule>
  </conditionalFormatting>
  <conditionalFormatting sqref="K11:K40">
    <cfRule type="expression" dxfId="1" priority="14">
      <formula>AND($J11&lt;&gt;"",$K11="")</formula>
    </cfRule>
  </conditionalFormatting>
  <conditionalFormatting sqref="K11:K40">
    <cfRule type="expression" dxfId="3" priority="15">
      <formula>AND($A11&lt;&gt;"",K11="")</formula>
    </cfRule>
  </conditionalFormatting>
  <conditionalFormatting sqref="L11:L40">
    <cfRule type="expression" dxfId="0" priority="16">
      <formula>L11&lt;&gt;""</formula>
    </cfRule>
  </conditionalFormatting>
  <conditionalFormatting sqref="L11:L40">
    <cfRule type="expression" dxfId="1" priority="17">
      <formula>AND($K11&lt;&gt;"",$L11="")</formula>
    </cfRule>
  </conditionalFormatting>
  <conditionalFormatting sqref="L11:L40">
    <cfRule type="expression" dxfId="3" priority="18">
      <formula>AND($A11&lt;&gt;"",L11="")</formula>
    </cfRule>
  </conditionalFormatting>
  <conditionalFormatting sqref="M11:M40">
    <cfRule type="expression" dxfId="0" priority="19">
      <formula>M11&lt;&gt;""</formula>
    </cfRule>
  </conditionalFormatting>
  <conditionalFormatting sqref="M11:M40">
    <cfRule type="expression" dxfId="1" priority="20">
      <formula>AND($L11&lt;&gt;"",$M11="")</formula>
    </cfRule>
  </conditionalFormatting>
  <conditionalFormatting sqref="M11:M40">
    <cfRule type="expression" dxfId="3" priority="21">
      <formula>AND($A11&lt;&gt;"",M11="")</formula>
    </cfRule>
  </conditionalFormatting>
  <conditionalFormatting sqref="N11:N40">
    <cfRule type="expression" dxfId="0" priority="22">
      <formula>N11&lt;&gt;""</formula>
    </cfRule>
  </conditionalFormatting>
  <conditionalFormatting sqref="N11:N40">
    <cfRule type="expression" dxfId="1" priority="23">
      <formula>AND($M11&lt;&gt;"",$N11="")</formula>
    </cfRule>
  </conditionalFormatting>
  <conditionalFormatting sqref="N11:N40">
    <cfRule type="expression" dxfId="3" priority="24">
      <formula>AND($A11&lt;&gt;"",N11="")</formula>
    </cfRule>
  </conditionalFormatting>
  <conditionalFormatting sqref="O11:O40">
    <cfRule type="expression" dxfId="0" priority="25">
      <formula>O11&lt;&gt;""</formula>
    </cfRule>
  </conditionalFormatting>
  <conditionalFormatting sqref="O11:O40">
    <cfRule type="expression" dxfId="1" priority="26">
      <formula>AND($N11&lt;&gt;"",$O11="")</formula>
    </cfRule>
  </conditionalFormatting>
  <conditionalFormatting sqref="O11:O40">
    <cfRule type="expression" dxfId="3" priority="27">
      <formula>AND($A11&lt;&gt;"",O11="")</formula>
    </cfRule>
  </conditionalFormatting>
  <conditionalFormatting sqref="T11:T40">
    <cfRule type="expression" dxfId="0" priority="28">
      <formula>T11="VERDE"</formula>
    </cfRule>
  </conditionalFormatting>
  <conditionalFormatting sqref="T11:T40">
    <cfRule type="expression" dxfId="1" priority="29">
      <formula>T11="AMARILLO"</formula>
    </cfRule>
  </conditionalFormatting>
  <conditionalFormatting sqref="T11:T40">
    <cfRule type="expression" dxfId="2" priority="30">
      <formula>T11="ROJO"</formula>
    </cfRule>
  </conditionalFormatting>
  <conditionalFormatting sqref="T11:T40">
    <cfRule type="expression" dxfId="3" priority="31">
      <formula>T11="GRIS"</formula>
    </cfRule>
  </conditionalFormatting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5.0"/>
    <col customWidth="1" min="2" max="26" width="8.71"/>
  </cols>
  <sheetData>
    <row r="1">
      <c r="A1" s="1" t="s">
        <v>372</v>
      </c>
      <c r="B1" s="2"/>
      <c r="C1" s="2"/>
      <c r="D1" s="2"/>
      <c r="E1" s="2"/>
      <c r="F1" s="3"/>
    </row>
    <row r="3">
      <c r="A3" s="4" t="s">
        <v>373</v>
      </c>
    </row>
    <row r="4">
      <c r="A4" s="4" t="s">
        <v>374</v>
      </c>
    </row>
    <row r="5">
      <c r="A5" s="4" t="s">
        <v>375</v>
      </c>
    </row>
    <row r="6">
      <c r="A6" s="4" t="s">
        <v>376</v>
      </c>
    </row>
    <row r="7">
      <c r="A7" s="4" t="s">
        <v>377</v>
      </c>
    </row>
    <row r="8">
      <c r="A8" s="4" t="s">
        <v>378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2026-03-24T18:02:34Z</dcterms:created>
  <dc:creator>openpyxl</dc:creator>
</cp:coreProperties>
</file>